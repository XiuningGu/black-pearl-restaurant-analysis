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/>
  <mc:AlternateContent xmlns:mc="http://schemas.openxmlformats.org/markup-compatibility/2006">
    <mc:Choice Requires="x15">
      <x15ac:absPath xmlns:x15ac="http://schemas.microsoft.com/office/spreadsheetml/2010/11/ac" url="/Users/xiuninggu/Desktop/"/>
    </mc:Choice>
  </mc:AlternateContent>
  <xr:revisionPtr revIDLastSave="0" documentId="13_ncr:1_{0FFCA9DF-607D-7E4C-97AD-DE283E04BE36}" xr6:coauthVersionLast="47" xr6:coauthVersionMax="47" xr10:uidLastSave="{00000000-0000-0000-0000-000000000000}"/>
  <bookViews>
    <workbookView xWindow="2300" yWindow="760" windowWidth="30320" windowHeight="17760" activeTab="9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4" i="1" l="1"/>
  <c r="R233" i="1"/>
  <c r="R232" i="1"/>
  <c r="R231" i="1"/>
  <c r="R230" i="1"/>
  <c r="R229" i="1"/>
  <c r="R228" i="1"/>
  <c r="R227" i="1"/>
  <c r="R226" i="1"/>
  <c r="R225" i="1"/>
  <c r="F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<sst xmlns="http://schemas.openxmlformats.org/spreadsheetml/2006/main" count="1102" uniqueCount="359">
  <si>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</si>
  <si>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</si>
  <si>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</si>
  <si>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</si>
  <si>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</si>
  <si>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</si>
  <si>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</si>
  <si>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</si>
  <si>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df</t>
  </si>
  <si>
    <t>SS</t>
  </si>
  <si>
    <t>MS</t>
  </si>
  <si>
    <t>F</t>
  </si>
  <si>
    <t>Significance F</t>
  </si>
  <si>
    <t>回归分析</t>
  </si>
  <si>
    <t>残差</t>
  </si>
  <si>
    <t>总计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</si>
  <si>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</si>
  <si>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</si>
  <si>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</si>
  <si>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</si>
  <si>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</si>
  <si>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</si>
  <si>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</si>
  <si>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Intercept</t>
  </si>
  <si>
    <t>口味评分 Taste Score</t>
  </si>
  <si>
    <t>环境评分 Environment Score</t>
  </si>
  <si>
    <t>服务评分 Environment Score</t>
  </si>
  <si>
    <t xml:space="preserve">评价量 # of evaluation  </t>
  </si>
  <si>
    <t>时长 / 年 Time / years</t>
  </si>
  <si>
    <t>年度星级商户次数</t>
  </si>
  <si>
    <t>同城分店</t>
  </si>
  <si>
    <t>黑珍珠收录次数</t>
  </si>
  <si>
    <t xml:space="preserve">人均价格/¥ Average price per person </t>
  </si>
  <si>
    <t>RESIDUAL OUTPUT</t>
  </si>
  <si>
    <t>PROBABILITY OUTPUT</t>
  </si>
  <si>
    <t>预测 总评分 Total Score</t>
  </si>
  <si>
    <t>标准残差</t>
  </si>
  <si>
    <t>百分比排位</t>
  </si>
  <si>
    <t>总评分 Total Score</t>
  </si>
  <si>
    <t>列 1</t>
  </si>
  <si>
    <t>列 2</t>
  </si>
  <si>
    <t>t-检验: 成对双样本均值分析</t>
  </si>
  <si>
    <t>变量 1</t>
  </si>
  <si>
    <t>变量 2</t>
  </si>
  <si>
    <t>平均</t>
  </si>
  <si>
    <t>方差</t>
  </si>
  <si>
    <t>泊松相关系数</t>
  </si>
  <si>
    <t>假设平均差</t>
  </si>
  <si>
    <t>P(T&lt;=t) 单尾</t>
  </si>
  <si>
    <t>t 单尾临界</t>
  </si>
  <si>
    <t>P(T&lt;=t) 双尾</t>
  </si>
  <si>
    <t>t 双尾临界</t>
  </si>
  <si>
    <t>t-检验: 双样本等方差假设</t>
  </si>
  <si>
    <t>合并方差</t>
  </si>
  <si>
    <t>地区 Area</t>
  </si>
  <si>
    <t>城市</t>
  </si>
  <si>
    <t>钻级 Diamond Level</t>
  </si>
  <si>
    <t>名字 Name</t>
  </si>
  <si>
    <t>菜系 Cuisine</t>
  </si>
  <si>
    <t>hello</t>
  </si>
  <si>
    <t>Winning "Annual Star Merchant" / times</t>
  </si>
  <si>
    <t>Listed on "Black Pearl Restaurant Guide"/ times</t>
  </si>
  <si>
    <t>同城分店数量 / Number of branches in the same city</t>
  </si>
  <si>
    <t>收藏量 # of favourites</t>
  </si>
  <si>
    <t>上海 Shanghai</t>
  </si>
  <si>
    <t>菁禧荟(外滩店)</t>
  </si>
  <si>
    <t>地方菜-潮汕菜</t>
  </si>
  <si>
    <t>甬府·北外滩</t>
  </si>
  <si>
    <t>地方菜-浙菜</t>
  </si>
  <si>
    <t>西郊5号·Maggie 5</t>
  </si>
  <si>
    <t>地方菜-上海本帮菜</t>
  </si>
  <si>
    <t>福和慧</t>
  </si>
  <si>
    <t>素食</t>
  </si>
  <si>
    <t>Le Comptoir de Pierre Gagnaire</t>
  </si>
  <si>
    <t>法国菜</t>
  </si>
  <si>
    <t>荣府宴(南阳路店)</t>
  </si>
  <si>
    <t>地方菜-苏浙菜</t>
  </si>
  <si>
    <t>The Pine 松涧</t>
  </si>
  <si>
    <t>西餐</t>
  </si>
  <si>
    <t>食材评分4.8</t>
  </si>
  <si>
    <t>鲁采LU STYLE(环宇荟店)</t>
  </si>
  <si>
    <t>海鲜</t>
  </si>
  <si>
    <t>Ultraviolet by Paul Pairet</t>
  </si>
  <si>
    <t>DA VITTORIO SHANGHAI(外滩店)</t>
  </si>
  <si>
    <t>意大利菜</t>
  </si>
  <si>
    <t>遇外滩(BFC外滩金融中心店)</t>
  </si>
  <si>
    <t>地方菜-福建菜</t>
  </si>
  <si>
    <t>8½ Otto e Mezzo BOMBANA(外滩店)</t>
  </si>
  <si>
    <t>Maison Lameloise 莱美露滋(上海中心店)</t>
  </si>
  <si>
    <t>周舍·海派菜(虹桥店)</t>
  </si>
  <si>
    <t>逸谷会(虹桥天地店)</t>
  </si>
  <si>
    <t>地方菜-粤菜</t>
  </si>
  <si>
    <t>明阁</t>
  </si>
  <si>
    <t>广舟(千禧店)</t>
  </si>
  <si>
    <t>子福慧(虹桥店)</t>
  </si>
  <si>
    <t>成隆行·颐丰花园(虹桥店)</t>
  </si>
  <si>
    <t>Villa Le Bec321</t>
  </si>
  <si>
    <t>鹿园 MOOSE(长宁店)</t>
  </si>
  <si>
    <t>地方菜-淮扬菜</t>
  </si>
  <si>
    <t>食材评分4.7</t>
  </si>
  <si>
    <t>宮鳩</t>
  </si>
  <si>
    <t>日本料理</t>
  </si>
  <si>
    <t>鮨昇(泰安路店)</t>
  </si>
  <si>
    <t>福1015(愚园路店)</t>
  </si>
  <si>
    <t>南兴园</t>
  </si>
  <si>
    <t>地方菜-川菜</t>
  </si>
  <si>
    <t>泰安门Taian Table(镇宁路店)</t>
  </si>
  <si>
    <t>福1088</t>
  </si>
  <si>
    <t>伯衡55·吉品轩(乌鲁木齐南路店)</t>
  </si>
  <si>
    <t>食材评分4.5</t>
  </si>
  <si>
    <t>上海鮨太郎·巓(建业里店)</t>
  </si>
  <si>
    <t>MERCADO 505 Gourmet Restaurant</t>
  </si>
  <si>
    <t>西班牙菜</t>
  </si>
  <si>
    <t>斐霓丝PHENIX(璞丽酒店)</t>
  </si>
  <si>
    <t>Stone Sal 言盐西餐厅(东湖路店)</t>
  </si>
  <si>
    <t>醉东Oriental House(静安嘉里店)</t>
  </si>
  <si>
    <t>MIND YAKINIKU 烧肉·至心</t>
  </si>
  <si>
    <t>楼上荟馆(静安嘉里中心店)</t>
  </si>
  <si>
    <t>大董(环贸iapm店)</t>
  </si>
  <si>
    <t>地方菜-北京菜</t>
  </si>
  <si>
    <t>景煊 SOLE</t>
  </si>
  <si>
    <t>中国菜·头灶</t>
  </si>
  <si>
    <t>中餐</t>
  </si>
  <si>
    <t>老兴鲜</t>
  </si>
  <si>
    <t>Obscura by 唐香</t>
  </si>
  <si>
    <t>晶采轩(恒隆广场店)</t>
  </si>
  <si>
    <t>东方景宴(思南公馆店)</t>
  </si>
  <si>
    <t>壳里西餐厅Coquille Seafood Bistro(蒙自路店)</t>
  </si>
  <si>
    <t>随堂里</t>
  </si>
  <si>
    <t>食廬NOBLE(凯德晶萃店)</t>
  </si>
  <si>
    <t>席作·福建会馆</t>
  </si>
  <si>
    <t xml:space="preserve"> 洋房火锅(新天地店)</t>
  </si>
  <si>
    <t>火锅</t>
  </si>
  <si>
    <t>甬江春(新天地店)</t>
  </si>
  <si>
    <t>海味观(老西门店)</t>
  </si>
  <si>
    <t>IL RISTORANTE - NIKO ROMITO</t>
  </si>
  <si>
    <t>宝丽轩中餐厅BAOLIXUAN</t>
  </si>
  <si>
    <t>食材评分4.6</t>
  </si>
  <si>
    <t>Horita堀田</t>
  </si>
  <si>
    <t>茹丝葵经典牛排馆</t>
  </si>
  <si>
    <t>牛排</t>
  </si>
  <si>
    <t>皇朝会(外滩店)</t>
  </si>
  <si>
    <t>Jean Georges</t>
  </si>
  <si>
    <t>Mr &amp; Mrs Bund by Paul Pairet</t>
  </si>
  <si>
    <t>逸道(外滩源店)</t>
  </si>
  <si>
    <t>上海滩餐厅(BFC外滩金融中心店)</t>
  </si>
  <si>
    <t>橼舍鮨青木(益丰·外滩源店)</t>
  </si>
  <si>
    <t>くろぎ Kurogi 黑木</t>
  </si>
  <si>
    <t>泓0871臻选云南菜(上海北外滩店)</t>
  </si>
  <si>
    <t>地方菜-云南菜</t>
  </si>
  <si>
    <t>临江宴(陆家嘴店)</t>
  </si>
  <si>
    <t>金轩中餐厅 Jin Xuan(浦东丽思卡尔顿酒店)</t>
  </si>
  <si>
    <t>南麓·荟馆</t>
  </si>
  <si>
    <t>上海柏悦酒店·悦轩</t>
  </si>
  <si>
    <t>樽宴</t>
  </si>
  <si>
    <t>华北地区 North China</t>
  </si>
  <si>
    <t>北京 Beijing</t>
  </si>
  <si>
    <t>美·大董海参店(南新仓店)</t>
  </si>
  <si>
    <t>晟永興烤鸭店(三里屯店)</t>
  </si>
  <si>
    <t>新荣记(新源南路店)</t>
  </si>
  <si>
    <t>京艷·翰林书院</t>
  </si>
  <si>
    <t>泓0871臻选云南菜</t>
  </si>
  <si>
    <t>京季荣派官府菜</t>
  </si>
  <si>
    <t>北京厨房(SKP店)</t>
  </si>
  <si>
    <t>利苑酒家(华熙国际店)</t>
  </si>
  <si>
    <t>官也街澳门火锅(国贸商城店)</t>
  </si>
  <si>
    <t>扬州宴(北京店)</t>
  </si>
  <si>
    <t>Opera Bombana</t>
  </si>
  <si>
    <t>山河万朵中国素食VEGE WONDER(王府中环店)</t>
  </si>
  <si>
    <t>唐人馆(王府中环店)</t>
  </si>
  <si>
    <t>私房菜</t>
  </si>
  <si>
    <t>兰斋LAMDRE</t>
  </si>
  <si>
    <t>Oyster Talks 四度蚝法餐厅</t>
  </si>
  <si>
    <t>Amico BJ</t>
  </si>
  <si>
    <t>沃夫冈牛排馆Wolfgang’s Steakhouse(三里屯店)</t>
  </si>
  <si>
    <t>Ling Long</t>
  </si>
  <si>
    <t>食材评分4.9</t>
  </si>
  <si>
    <t>宝屋日料(通盈中心店)</t>
  </si>
  <si>
    <t>雪崴(中国红街店)</t>
  </si>
  <si>
    <t>富临饭店</t>
  </si>
  <si>
    <t>富春居</t>
  </si>
  <si>
    <t>宴锦堂(隆福寺店)</t>
  </si>
  <si>
    <t>鮨然(然寿司钱粮胡同店)</t>
  </si>
  <si>
    <t>珍滋味海鲜火锅(蓝色港湾店)</t>
  </si>
  <si>
    <t>LES MORILLES樂·墨瑞</t>
  </si>
  <si>
    <t>鮨龍</t>
  </si>
  <si>
    <t>曲廊院(东四十一条店)</t>
  </si>
  <si>
    <t>济南 Jinan</t>
  </si>
  <si>
    <t>鲁采 LU STYLE(CBD店)</t>
  </si>
  <si>
    <t>地方菜-鲁菜</t>
  </si>
  <si>
    <t>天津 Tianjing</t>
  </si>
  <si>
    <t>泉客厅Spring Pavilion 中餐厅</t>
  </si>
  <si>
    <t>四季酒店·津韵中餐厅</t>
  </si>
  <si>
    <t>偏西南地区 Southwest China</t>
  </si>
  <si>
    <t>成都 Chengdu</t>
  </si>
  <si>
    <t>有雲·鹿洄天府 1911中国川菜体验中心</t>
  </si>
  <si>
    <t>漾亚·雍雅合鲜(桐梓林店)</t>
  </si>
  <si>
    <t>许家菜(望江店)</t>
  </si>
  <si>
    <t>松云泽</t>
  </si>
  <si>
    <t>廊桥THE BRIDGE</t>
  </si>
  <si>
    <t>Tivano意大利餐厅(笔帖式街店)</t>
  </si>
  <si>
    <t>雏Chú MODERN CUISINE</t>
  </si>
  <si>
    <t>8号火锅中餐厅(成都群光君悦酒店)</t>
  </si>
  <si>
    <t>银芭1986</t>
  </si>
  <si>
    <t>银滩鲍鱼火锅(希望路店)</t>
  </si>
  <si>
    <t>岷山饭店·THE RIVER HOUSE西餐厅</t>
  </si>
  <si>
    <t>南堂館川菜文化餐厅(天府店)</t>
  </si>
  <si>
    <t>成都宴(桐梓林店)</t>
  </si>
  <si>
    <t>临江宴·雲</t>
  </si>
  <si>
    <t>福满楼·Hokkien Cuisine(中国华商店)</t>
  </si>
  <si>
    <t>新荣记(成都华商店)</t>
  </si>
  <si>
    <t>Silver pot·银锅现代川菜(悠方店)</t>
  </si>
  <si>
    <t>S Kitchen偲厨</t>
  </si>
  <si>
    <t>柴门荟(中海店)</t>
  </si>
  <si>
    <t>翠玲珑CUI(万象南路店)</t>
  </si>
  <si>
    <t>重庆 Chongqing</t>
  </si>
  <si>
    <t>滟设火锅料理(南滨路店)</t>
  </si>
  <si>
    <t>罗宾斯牛排馆(重庆丽晶酒店)</t>
  </si>
  <si>
    <t>芊月茗素食私宴</t>
  </si>
  <si>
    <t>于塗</t>
  </si>
  <si>
    <t>山茶四季(万象城店)</t>
  </si>
  <si>
    <t>昆明 Kunming</t>
  </si>
  <si>
    <t>翠府(翠湖北路店)</t>
  </si>
  <si>
    <t>依锦上庭(公园1903店)</t>
  </si>
  <si>
    <t>昆明洲际酒店·香稻轩中餐厅</t>
  </si>
  <si>
    <t>西安 Xi'an</t>
  </si>
  <si>
    <t>铭家(曲江店)</t>
  </si>
  <si>
    <t>莲西餐</t>
  </si>
  <si>
    <t>长安荟·原味陕菜</t>
  </si>
  <si>
    <t>地方菜-陕西菜</t>
  </si>
  <si>
    <t>唐华华邑酒店-彩丰楼中餐厅</t>
  </si>
  <si>
    <t>大董海参店(西安SKP店)</t>
  </si>
  <si>
    <t>华中地区 Central China</t>
  </si>
  <si>
    <t>长沙 Changsha</t>
  </si>
  <si>
    <t>晴溪莊园(星沙店)</t>
  </si>
  <si>
    <t>地方菜-湘菜</t>
  </si>
  <si>
    <t>新长福(世嘉店)</t>
  </si>
  <si>
    <t>蓝麒麟(运达汇店)</t>
  </si>
  <si>
    <t>墨泉峰味(润和国际广场店)</t>
  </si>
  <si>
    <t>武汉 Wuhan</t>
  </si>
  <si>
    <t>湖滨客舍(东湖店)</t>
  </si>
  <si>
    <t>地方菜-湖北菜</t>
  </si>
  <si>
    <t>渔歌·武昌鱼艺术餐厅</t>
  </si>
  <si>
    <t>丹青宴(武汉天地店)</t>
  </si>
  <si>
    <t>粗茶淡饭·壹号餐房</t>
  </si>
  <si>
    <t>喜舍(江滩店)</t>
  </si>
  <si>
    <t xml:space="preserve">华南地区 South China </t>
  </si>
  <si>
    <t>广州 Guangzhou</t>
  </si>
  <si>
    <t>好酒好蔡</t>
  </si>
  <si>
    <t>跃·Yue现代粤菜料理</t>
  </si>
  <si>
    <t>广州瑰丽酒店·广御轩Lingnan House</t>
  </si>
  <si>
    <t>白天鹅宾馆-玉堂春暖餐厅</t>
  </si>
  <si>
    <t>炳胜私厨(天河东店)</t>
  </si>
  <si>
    <t>广州文华东方酒店·江-由辉师傅主理</t>
  </si>
  <si>
    <t>客·AKEN’S KITCHEN私房菜(花城大道店)</t>
  </si>
  <si>
    <t>潮跃</t>
  </si>
  <si>
    <t>CICADA 宋·湘</t>
  </si>
  <si>
    <t>广州富力君悦大酒店空中花园</t>
  </si>
  <si>
    <t>花城苑广府菜(侨鑫店)</t>
  </si>
  <si>
    <t>炳胜公馆(珠江新城店)</t>
  </si>
  <si>
    <t>广州柏悦酒店·悦景轩·粤菜餐厅</t>
  </si>
  <si>
    <t>Rêver·玥</t>
  </si>
  <si>
    <t>斯蒂勒 Stiller</t>
  </si>
  <si>
    <t>利苑酒家(宜安广场店)</t>
  </si>
  <si>
    <t>天水蔬食料理(东方文德店)</t>
  </si>
  <si>
    <t>惠食佳(滨江大公馆店)</t>
  </si>
  <si>
    <t>岁集院子</t>
  </si>
  <si>
    <t>顺德 shunde</t>
  </si>
  <si>
    <t>鱼膳坊(凤城食都店)</t>
  </si>
  <si>
    <t>东海海鲜酒家</t>
  </si>
  <si>
    <t>厦门 Xiamen</t>
  </si>
  <si>
    <t>宴遇·福建荟馆(新景中心店)</t>
  </si>
  <si>
    <t>CHIC1699远洋私厨</t>
  </si>
  <si>
    <t>福建菜</t>
  </si>
  <si>
    <t>雀越·Queen(滨北店)</t>
  </si>
  <si>
    <t>越南菜</t>
  </si>
  <si>
    <t>上青本港海鲜(后江埭路店)</t>
  </si>
  <si>
    <t>汕头 Shantou</t>
  </si>
  <si>
    <t>潮汕味道煮海餐厅(金麟大厦店)</t>
  </si>
  <si>
    <t>建业酒家(凤凰山路店)</t>
  </si>
  <si>
    <t>潮林府私房菜</t>
  </si>
  <si>
    <t>吴·现代潮菜(汕头店)</t>
  </si>
  <si>
    <t>江浙地区 Jiangsu and Zhejiang region</t>
  </si>
  <si>
    <t>南京 Nanjing</t>
  </si>
  <si>
    <t>南京香格里拉·江南灶中餐厅</t>
  </si>
  <si>
    <t>龙吟山房(青龙山庄店)</t>
  </si>
  <si>
    <t>紫金山院</t>
  </si>
  <si>
    <t>金陵饭店·梅苑</t>
  </si>
  <si>
    <t>鮨極KIWAMI</t>
  </si>
  <si>
    <t>杭州 Hangzhou</t>
  </si>
  <si>
    <t>杭州西子湖四季酒店·金沙厅</t>
  </si>
  <si>
    <t>杭州柏悦酒店-悦轩中餐厅</t>
  </si>
  <si>
    <t>西湖国宾馆·紫薇厅</t>
  </si>
  <si>
    <t>解香楼(八盘岭路店)</t>
  </si>
  <si>
    <t>三嚥阁 La Villa Restaurant</t>
  </si>
  <si>
    <t>新荣记(西溪湿地店)</t>
  </si>
  <si>
    <t>杭州康莱德酒店·里安</t>
  </si>
  <si>
    <t>朴竺·植物料理</t>
  </si>
  <si>
    <t>暗香·Wild Yeast</t>
  </si>
  <si>
    <t>青岚</t>
  </si>
  <si>
    <t>好酒好蔡·潮目CHIU by Howard</t>
  </si>
  <si>
    <t>Ambré Ciel 珀·餐厅</t>
  </si>
  <si>
    <t>隐外(龙井路店)</t>
  </si>
  <si>
    <t>曼殊怀石料理</t>
  </si>
  <si>
    <t>食材4.7</t>
  </si>
  <si>
    <t>桂语山房(满觉陇店)</t>
  </si>
  <si>
    <t>兰轩村庄食坊</t>
  </si>
  <si>
    <t>宁波 Ningbo</t>
  </si>
  <si>
    <t>美宴(槐树路店)</t>
  </si>
  <si>
    <t>陈公馆·Champion Tower(外滩店)</t>
  </si>
  <si>
    <t>海味世家·本味餐厅(明州店)</t>
  </si>
  <si>
    <t>宁波柏悦酒店·钱湖渔港</t>
  </si>
  <si>
    <t>苏州 Suzhou</t>
  </si>
  <si>
    <t>苏州柏悦酒店·西洲轩</t>
  </si>
  <si>
    <t>苏州凯悦酒店·华池88中餐厅</t>
  </si>
  <si>
    <t>地方菜-苏帮菜</t>
  </si>
  <si>
    <t>金海华·悦食东方·CHAO27(洲际店)</t>
  </si>
  <si>
    <t>江南雅厨(李公堤店)</t>
  </si>
  <si>
    <t>鼎膳·匠宴(高铁新城店)</t>
  </si>
  <si>
    <t>牡丹园·灵岩山房</t>
  </si>
  <si>
    <t>台州 Taizhou</t>
  </si>
  <si>
    <t>新荣记(灵湖店)</t>
  </si>
  <si>
    <t>新荣记(中心大道店)</t>
  </si>
  <si>
    <t>刻龙壹号(腾达中心店)</t>
  </si>
  <si>
    <t>老扁酒家</t>
  </si>
  <si>
    <t>无锡 Wuxi</t>
  </si>
  <si>
    <t>贰拾壹.show(日航饭店)</t>
  </si>
  <si>
    <t>The V泽惟·低温慢煮料理</t>
  </si>
  <si>
    <t>无锡苏宁凯悦酒店-悦府65中餐厅</t>
  </si>
  <si>
    <t>君来湖滨饭店·渔餐厅</t>
  </si>
  <si>
    <t>扬州 Yangzhou</t>
  </si>
  <si>
    <t>趣园茶社(长春路店)</t>
  </si>
  <si>
    <t>山·餐厅</t>
  </si>
  <si>
    <t>深圳 Shenzhen</t>
  </si>
  <si>
    <t>Ensue</t>
  </si>
  <si>
    <t>君悦酒店·主席楼·粤府·点心粤菜</t>
  </si>
  <si>
    <t>鮨一日本料理(大中华店)</t>
  </si>
  <si>
    <t>珍庭潮州菜(卓悦中心店)</t>
  </si>
  <si>
    <t>天屿水·茶蔬(卓悦中心店)</t>
  </si>
  <si>
    <t>嘉苑饭店</t>
  </si>
  <si>
    <t>新荣记(平安金融中心店)</t>
  </si>
  <si>
    <t>AVANT</t>
  </si>
  <si>
    <t>至正潮菜(华侨城店)</t>
  </si>
  <si>
    <t>吴·现代潮菜(深圳店)</t>
  </si>
  <si>
    <t>粤海荟</t>
  </si>
  <si>
    <t>Stone Sal 言盐西餐厅(金地威新中心店)</t>
  </si>
  <si>
    <t>Voisin Organique</t>
  </si>
  <si>
    <t>晴空·日本料理(万象城店)</t>
  </si>
  <si>
    <t>齐武</t>
  </si>
  <si>
    <t>莱佛士酒店·云璟 Yun Jing</t>
  </si>
  <si>
    <t>水岸十里·江海时鲜(万象前海店)</t>
  </si>
  <si>
    <t>江西 Jiangxi</t>
  </si>
  <si>
    <t>春天来了·雅集</t>
  </si>
  <si>
    <t>地方菜-赣菜</t>
  </si>
  <si>
    <t>牡丹亭(新天地店)</t>
  </si>
  <si>
    <t xml:space="preserve"> Total Score</t>
    <phoneticPr fontId="3" type="noConversion"/>
  </si>
  <si>
    <t>Taste Score</t>
    <phoneticPr fontId="3" type="noConversion"/>
  </si>
  <si>
    <t>Environment Score</t>
    <phoneticPr fontId="3" type="noConversion"/>
  </si>
  <si>
    <t>Service Score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</si>
</sst>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00_ "/>
  </numFmts>
  <fonts count="4">
    <font>
      <sz val="12"/>
      <color theme="1"/>
      <name val="等线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80" fontId="2" fillId="0" borderId="0" xfId="0" applyNumberFormat="1" applyFont="1" applyAlignment="1">
      <alignment horizontal="left"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centerContinuous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评价量 </a:t>
            </a:r>
            <a:r>
              <a:rPr lang="en-US" altLang="zh-CN"/>
              <a:t># of evaluation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xVal>
            <c:numRef>
              <c:f>Sheet1!$K$2:$K$154</c:f>
              <c:numCache>
                <c:formatCode>General</c:formatCode>
                <c:ptCount val="153"/>
                <c:pt idx="0">
                  <c:v>2426</c:v>
                </c:pt>
                <c:pt idx="1">
                  <c:v>819</c:v>
                </c:pt>
                <c:pt idx="2">
                  <c:v>2609</c:v>
                </c:pt>
                <c:pt idx="3">
                  <c:v>6628</c:v>
                </c:pt>
                <c:pt idx="4">
                  <c:v>4632</c:v>
                </c:pt>
                <c:pt idx="5">
                  <c:v>1723</c:v>
                </c:pt>
                <c:pt idx="6">
                  <c:v>3032</c:v>
                </c:pt>
                <c:pt idx="7">
                  <c:v>5100</c:v>
                </c:pt>
                <c:pt idx="8">
                  <c:v>1722</c:v>
                </c:pt>
                <c:pt idx="9">
                  <c:v>4719</c:v>
                </c:pt>
                <c:pt idx="10">
                  <c:v>4947</c:v>
                </c:pt>
                <c:pt idx="11">
                  <c:v>3666</c:v>
                </c:pt>
                <c:pt idx="12">
                  <c:v>3778</c:v>
                </c:pt>
                <c:pt idx="13">
                  <c:v>1327</c:v>
                </c:pt>
                <c:pt idx="14">
                  <c:v>1416</c:v>
                </c:pt>
                <c:pt idx="15">
                  <c:v>2429</c:v>
                </c:pt>
                <c:pt idx="16">
                  <c:v>1718</c:v>
                </c:pt>
                <c:pt idx="17">
                  <c:v>737</c:v>
                </c:pt>
                <c:pt idx="18">
                  <c:v>2708</c:v>
                </c:pt>
                <c:pt idx="19">
                  <c:v>5744</c:v>
                </c:pt>
                <c:pt idx="20">
                  <c:v>7406</c:v>
                </c:pt>
                <c:pt idx="21">
                  <c:v>426</c:v>
                </c:pt>
                <c:pt idx="22">
                  <c:v>1514</c:v>
                </c:pt>
                <c:pt idx="23">
                  <c:v>2308</c:v>
                </c:pt>
                <c:pt idx="24">
                  <c:v>911</c:v>
                </c:pt>
                <c:pt idx="25">
                  <c:v>2028</c:v>
                </c:pt>
                <c:pt idx="26">
                  <c:v>5644</c:v>
                </c:pt>
                <c:pt idx="27">
                  <c:v>2026</c:v>
                </c:pt>
                <c:pt idx="28">
                  <c:v>888</c:v>
                </c:pt>
                <c:pt idx="29">
                  <c:v>6092</c:v>
                </c:pt>
                <c:pt idx="30">
                  <c:v>3668</c:v>
                </c:pt>
                <c:pt idx="31">
                  <c:v>7447</c:v>
                </c:pt>
                <c:pt idx="32">
                  <c:v>12712</c:v>
                </c:pt>
                <c:pt idx="33">
                  <c:v>766</c:v>
                </c:pt>
                <c:pt idx="34">
                  <c:v>3099</c:v>
                </c:pt>
                <c:pt idx="35">
                  <c:v>15033</c:v>
                </c:pt>
                <c:pt idx="36">
                  <c:v>609</c:v>
                </c:pt>
                <c:pt idx="37">
                  <c:v>374</c:v>
                </c:pt>
                <c:pt idx="38">
                  <c:v>6122</c:v>
                </c:pt>
                <c:pt idx="39">
                  <c:v>576</c:v>
                </c:pt>
                <c:pt idx="40">
                  <c:v>4128</c:v>
                </c:pt>
                <c:pt idx="41">
                  <c:v>1342</c:v>
                </c:pt>
                <c:pt idx="42">
                  <c:v>11471</c:v>
                </c:pt>
                <c:pt idx="43">
                  <c:v>5581</c:v>
                </c:pt>
                <c:pt idx="44">
                  <c:v>3441</c:v>
                </c:pt>
                <c:pt idx="45">
                  <c:v>2958</c:v>
                </c:pt>
                <c:pt idx="46">
                  <c:v>7586</c:v>
                </c:pt>
                <c:pt idx="47">
                  <c:v>1260</c:v>
                </c:pt>
                <c:pt idx="48">
                  <c:v>1437</c:v>
                </c:pt>
                <c:pt idx="49">
                  <c:v>2339</c:v>
                </c:pt>
                <c:pt idx="50">
                  <c:v>2208</c:v>
                </c:pt>
                <c:pt idx="51">
                  <c:v>632</c:v>
                </c:pt>
                <c:pt idx="52">
                  <c:v>14397</c:v>
                </c:pt>
                <c:pt idx="53">
                  <c:v>3145</c:v>
                </c:pt>
                <c:pt idx="54">
                  <c:v>11609</c:v>
                </c:pt>
                <c:pt idx="55">
                  <c:v>7326</c:v>
                </c:pt>
                <c:pt idx="56">
                  <c:v>6167</c:v>
                </c:pt>
                <c:pt idx="57">
                  <c:v>5288</c:v>
                </c:pt>
                <c:pt idx="58">
                  <c:v>1705</c:v>
                </c:pt>
                <c:pt idx="59">
                  <c:v>1325</c:v>
                </c:pt>
                <c:pt idx="60">
                  <c:v>1555</c:v>
                </c:pt>
                <c:pt idx="61">
                  <c:v>1178</c:v>
                </c:pt>
                <c:pt idx="62">
                  <c:v>2861</c:v>
                </c:pt>
                <c:pt idx="63">
                  <c:v>853</c:v>
                </c:pt>
                <c:pt idx="64">
                  <c:v>1178</c:v>
                </c:pt>
                <c:pt idx="65">
                  <c:v>3173</c:v>
                </c:pt>
                <c:pt idx="66">
                  <c:v>824</c:v>
                </c:pt>
                <c:pt idx="67">
                  <c:v>13970</c:v>
                </c:pt>
                <c:pt idx="68">
                  <c:v>6715</c:v>
                </c:pt>
                <c:pt idx="69">
                  <c:v>4825</c:v>
                </c:pt>
                <c:pt idx="70">
                  <c:v>1299</c:v>
                </c:pt>
                <c:pt idx="71">
                  <c:v>3633</c:v>
                </c:pt>
                <c:pt idx="72">
                  <c:v>1159</c:v>
                </c:pt>
                <c:pt idx="73">
                  <c:v>6342</c:v>
                </c:pt>
                <c:pt idx="74">
                  <c:v>5154</c:v>
                </c:pt>
                <c:pt idx="75">
                  <c:v>4516</c:v>
                </c:pt>
                <c:pt idx="76">
                  <c:v>351</c:v>
                </c:pt>
                <c:pt idx="77">
                  <c:v>5203</c:v>
                </c:pt>
                <c:pt idx="78">
                  <c:v>2218</c:v>
                </c:pt>
                <c:pt idx="79">
                  <c:v>333</c:v>
                </c:pt>
                <c:pt idx="80">
                  <c:v>522</c:v>
                </c:pt>
                <c:pt idx="81">
                  <c:v>1358</c:v>
                </c:pt>
                <c:pt idx="82">
                  <c:v>1512</c:v>
                </c:pt>
                <c:pt idx="83">
                  <c:v>7837</c:v>
                </c:pt>
                <c:pt idx="84">
                  <c:v>1804</c:v>
                </c:pt>
                <c:pt idx="85">
                  <c:v>2557</c:v>
                </c:pt>
                <c:pt idx="86">
                  <c:v>2022</c:v>
                </c:pt>
                <c:pt idx="87">
                  <c:v>514</c:v>
                </c:pt>
                <c:pt idx="88">
                  <c:v>3025</c:v>
                </c:pt>
                <c:pt idx="89">
                  <c:v>13970</c:v>
                </c:pt>
                <c:pt idx="90">
                  <c:v>500</c:v>
                </c:pt>
                <c:pt idx="91">
                  <c:v>1810</c:v>
                </c:pt>
                <c:pt idx="92">
                  <c:v>6716</c:v>
                </c:pt>
                <c:pt idx="93">
                  <c:v>4735</c:v>
                </c:pt>
                <c:pt idx="94">
                  <c:v>1965</c:v>
                </c:pt>
                <c:pt idx="95">
                  <c:v>749</c:v>
                </c:pt>
                <c:pt idx="96">
                  <c:v>4755</c:v>
                </c:pt>
                <c:pt idx="97">
                  <c:v>2488</c:v>
                </c:pt>
                <c:pt idx="98">
                  <c:v>1007</c:v>
                </c:pt>
                <c:pt idx="99">
                  <c:v>1692</c:v>
                </c:pt>
                <c:pt idx="100">
                  <c:v>293</c:v>
                </c:pt>
                <c:pt idx="101">
                  <c:v>1261</c:v>
                </c:pt>
                <c:pt idx="102">
                  <c:v>3131</c:v>
                </c:pt>
                <c:pt idx="103">
                  <c:v>862</c:v>
                </c:pt>
                <c:pt idx="104">
                  <c:v>3882</c:v>
                </c:pt>
                <c:pt idx="105">
                  <c:v>3714</c:v>
                </c:pt>
                <c:pt idx="106">
                  <c:v>2281</c:v>
                </c:pt>
                <c:pt idx="107">
                  <c:v>3374</c:v>
                </c:pt>
                <c:pt idx="108">
                  <c:v>1862</c:v>
                </c:pt>
                <c:pt idx="109">
                  <c:v>1365</c:v>
                </c:pt>
                <c:pt idx="110">
                  <c:v>3301</c:v>
                </c:pt>
                <c:pt idx="111">
                  <c:v>2693</c:v>
                </c:pt>
                <c:pt idx="112">
                  <c:v>2692</c:v>
                </c:pt>
                <c:pt idx="113">
                  <c:v>298</c:v>
                </c:pt>
                <c:pt idx="114">
                  <c:v>647</c:v>
                </c:pt>
                <c:pt idx="115">
                  <c:v>1327</c:v>
                </c:pt>
                <c:pt idx="116">
                  <c:v>1833</c:v>
                </c:pt>
                <c:pt idx="117">
                  <c:v>1410</c:v>
                </c:pt>
                <c:pt idx="118">
                  <c:v>945</c:v>
                </c:pt>
                <c:pt idx="119">
                  <c:v>896</c:v>
                </c:pt>
                <c:pt idx="120">
                  <c:v>1325</c:v>
                </c:pt>
                <c:pt idx="121">
                  <c:v>2560</c:v>
                </c:pt>
                <c:pt idx="122">
                  <c:v>2347</c:v>
                </c:pt>
                <c:pt idx="123">
                  <c:v>1116</c:v>
                </c:pt>
                <c:pt idx="124">
                  <c:v>1031</c:v>
                </c:pt>
                <c:pt idx="125">
                  <c:v>2936</c:v>
                </c:pt>
                <c:pt idx="126">
                  <c:v>477</c:v>
                </c:pt>
                <c:pt idx="127">
                  <c:v>2272</c:v>
                </c:pt>
                <c:pt idx="128">
                  <c:v>649</c:v>
                </c:pt>
                <c:pt idx="129">
                  <c:v>3045</c:v>
                </c:pt>
                <c:pt idx="130">
                  <c:v>2863</c:v>
                </c:pt>
                <c:pt idx="131">
                  <c:v>1193</c:v>
                </c:pt>
                <c:pt idx="132">
                  <c:v>3785</c:v>
                </c:pt>
                <c:pt idx="133">
                  <c:v>996</c:v>
                </c:pt>
                <c:pt idx="134">
                  <c:v>3134</c:v>
                </c:pt>
                <c:pt idx="135">
                  <c:v>1005</c:v>
                </c:pt>
                <c:pt idx="136">
                  <c:v>1436</c:v>
                </c:pt>
                <c:pt idx="137">
                  <c:v>601</c:v>
                </c:pt>
                <c:pt idx="138">
                  <c:v>2742</c:v>
                </c:pt>
                <c:pt idx="139">
                  <c:v>1475</c:v>
                </c:pt>
                <c:pt idx="140">
                  <c:v>1483</c:v>
                </c:pt>
                <c:pt idx="141">
                  <c:v>1188</c:v>
                </c:pt>
                <c:pt idx="142">
                  <c:v>1679</c:v>
                </c:pt>
                <c:pt idx="143">
                  <c:v>742</c:v>
                </c:pt>
                <c:pt idx="144">
                  <c:v>1508</c:v>
                </c:pt>
                <c:pt idx="145">
                  <c:v>2657</c:v>
                </c:pt>
                <c:pt idx="146">
                  <c:v>11431</c:v>
                </c:pt>
                <c:pt idx="147">
                  <c:v>2836</c:v>
                </c:pt>
                <c:pt idx="148">
                  <c:v>4029</c:v>
                </c:pt>
                <c:pt idx="149">
                  <c:v>621</c:v>
                </c:pt>
                <c:pt idx="150">
                  <c:v>439</c:v>
                </c:pt>
                <c:pt idx="151">
                  <c:v>621</c:v>
                </c:pt>
                <c:pt idx="152">
                  <c:v>671</c:v>
                </c:pt>
              </c:numCache>
            </c:numRef>
          </c:xVal>
          <c:yVal>
            <c:numRef>
              <c:f>Sheet3!$C$30:$C$182</c:f>
              <c:numCache>
                <c:formatCode>General</c:formatCode>
                <c:ptCount val="153"/>
                <c:pt idx="0">
                  <c:v>-0.19256614157518501</c:v>
                </c:pt>
                <c:pt idx="1">
                  <c:v>1.19551392621489E-2</c:v>
                </c:pt>
                <c:pt idx="2">
                  <c:v>9.27470937061496E-2</c:v>
                </c:pt>
                <c:pt idx="3">
                  <c:v>3.10321102151025E-2</c:v>
                </c:pt>
                <c:pt idx="4">
                  <c:v>-0.159711168945294</c:v>
                </c:pt>
                <c:pt idx="5">
                  <c:v>0.15323981850190399</c:v>
                </c:pt>
                <c:pt idx="6">
                  <c:v>-5.7236788936183601E-3</c:v>
                </c:pt>
                <c:pt idx="7">
                  <c:v>1.9204890442818399E-2</c:v>
                </c:pt>
                <c:pt idx="8">
                  <c:v>0.39074654544166798</c:v>
                </c:pt>
                <c:pt idx="9">
                  <c:v>-0.14581488777723201</c:v>
                </c:pt>
                <c:pt idx="10">
                  <c:v>-2.2714550139796501E-2</c:v>
                </c:pt>
                <c:pt idx="11">
                  <c:v>-0.16571348630367599</c:v>
                </c:pt>
                <c:pt idx="12">
                  <c:v>4.0870200969236797E-2</c:v>
                </c:pt>
                <c:pt idx="13">
                  <c:v>-7.6808061937293295E-2</c:v>
                </c:pt>
                <c:pt idx="14">
                  <c:v>0.12836568438041901</c:v>
                </c:pt>
                <c:pt idx="15">
                  <c:v>-0.31714501570085601</c:v>
                </c:pt>
                <c:pt idx="16">
                  <c:v>6.8200256982542007E-2</c:v>
                </c:pt>
                <c:pt idx="17">
                  <c:v>5.3088090181968403E-2</c:v>
                </c:pt>
                <c:pt idx="18">
                  <c:v>-0.164729958454475</c:v>
                </c:pt>
                <c:pt idx="19">
                  <c:v>-0.40821810924817098</c:v>
                </c:pt>
                <c:pt idx="20">
                  <c:v>-0.23609857659139799</c:v>
                </c:pt>
                <c:pt idx="21">
                  <c:v>-9.3220540516541398E-2</c:v>
                </c:pt>
                <c:pt idx="22">
                  <c:v>0.17275311552914499</c:v>
                </c:pt>
                <c:pt idx="23">
                  <c:v>0.11055779445922601</c:v>
                </c:pt>
                <c:pt idx="24">
                  <c:v>-0.31103475113221102</c:v>
                </c:pt>
                <c:pt idx="25">
                  <c:v>-0.22782350126241199</c:v>
                </c:pt>
                <c:pt idx="26">
                  <c:v>8.3382355181324599E-2</c:v>
                </c:pt>
                <c:pt idx="27">
                  <c:v>-0.10812460423028</c:v>
                </c:pt>
                <c:pt idx="28">
                  <c:v>-0.271052677981174</c:v>
                </c:pt>
                <c:pt idx="29">
                  <c:v>-0.179141600765162</c:v>
                </c:pt>
                <c:pt idx="30">
                  <c:v>-0.16008034839763399</c:v>
                </c:pt>
                <c:pt idx="31">
                  <c:v>-0.12149455679334099</c:v>
                </c:pt>
                <c:pt idx="32">
                  <c:v>0.14173977584269301</c:v>
                </c:pt>
                <c:pt idx="33">
                  <c:v>0.19255132860534399</c:v>
                </c:pt>
                <c:pt idx="34">
                  <c:v>5.6584688029835697E-2</c:v>
                </c:pt>
                <c:pt idx="35">
                  <c:v>-8.2428952650424506E-2</c:v>
                </c:pt>
                <c:pt idx="36">
                  <c:v>-0.182659070255448</c:v>
                </c:pt>
                <c:pt idx="37">
                  <c:v>-0.46624192447754798</c:v>
                </c:pt>
                <c:pt idx="38">
                  <c:v>0.32051484596757401</c:v>
                </c:pt>
                <c:pt idx="39">
                  <c:v>-0.48507180443721198</c:v>
                </c:pt>
                <c:pt idx="40">
                  <c:v>3.7556944516420998E-2</c:v>
                </c:pt>
                <c:pt idx="41">
                  <c:v>-4.5386560041323201E-2</c:v>
                </c:pt>
                <c:pt idx="42">
                  <c:v>-6.9535118800605894E-2</c:v>
                </c:pt>
                <c:pt idx="43">
                  <c:v>-7.6161008130611704E-2</c:v>
                </c:pt>
                <c:pt idx="44">
                  <c:v>8.2047880308301999E-2</c:v>
                </c:pt>
                <c:pt idx="45">
                  <c:v>0.20808860210278801</c:v>
                </c:pt>
                <c:pt idx="46">
                  <c:v>0.31616452790859501</c:v>
                </c:pt>
                <c:pt idx="47">
                  <c:v>0.155511780671823</c:v>
                </c:pt>
                <c:pt idx="48">
                  <c:v>0.180588664015019</c:v>
                </c:pt>
                <c:pt idx="49">
                  <c:v>-0.19715719810042501</c:v>
                </c:pt>
                <c:pt idx="50">
                  <c:v>2.50491497597078E-2</c:v>
                </c:pt>
                <c:pt idx="51">
                  <c:v>-0.11804733346339299</c:v>
                </c:pt>
                <c:pt idx="52">
                  <c:v>9.1343836120914901E-2</c:v>
                </c:pt>
                <c:pt idx="53">
                  <c:v>2.6100785507274802E-3</c:v>
                </c:pt>
                <c:pt idx="54">
                  <c:v>1.83307288748908E-2</c:v>
                </c:pt>
                <c:pt idx="55">
                  <c:v>-0.48336173621949502</c:v>
                </c:pt>
                <c:pt idx="56">
                  <c:v>0.16598025202715</c:v>
                </c:pt>
                <c:pt idx="57">
                  <c:v>0.149213530354639</c:v>
                </c:pt>
                <c:pt idx="58">
                  <c:v>-3.57728508151922E-2</c:v>
                </c:pt>
                <c:pt idx="59">
                  <c:v>-4.2787725739676E-2</c:v>
                </c:pt>
                <c:pt idx="60">
                  <c:v>-0.21788302070674101</c:v>
                </c:pt>
                <c:pt idx="61">
                  <c:v>0.19203118234536501</c:v>
                </c:pt>
                <c:pt idx="62">
                  <c:v>-5.8058920115235502E-2</c:v>
                </c:pt>
                <c:pt idx="63">
                  <c:v>-0.118357934473607</c:v>
                </c:pt>
                <c:pt idx="64">
                  <c:v>0.18451278024756501</c:v>
                </c:pt>
                <c:pt idx="65">
                  <c:v>0.112163684031458</c:v>
                </c:pt>
                <c:pt idx="66">
                  <c:v>0.25133737215868202</c:v>
                </c:pt>
                <c:pt idx="67">
                  <c:v>0.18007998069714501</c:v>
                </c:pt>
                <c:pt idx="68">
                  <c:v>0.21935084244177</c:v>
                </c:pt>
                <c:pt idx="69">
                  <c:v>0.14766681207594001</c:v>
                </c:pt>
                <c:pt idx="70">
                  <c:v>0.12907830111218099</c:v>
                </c:pt>
                <c:pt idx="71">
                  <c:v>-0.26094917004679302</c:v>
                </c:pt>
                <c:pt idx="72">
                  <c:v>0.190288394613886</c:v>
                </c:pt>
                <c:pt idx="73">
                  <c:v>-0.36342968936474901</c:v>
                </c:pt>
                <c:pt idx="74">
                  <c:v>-0.109637437536223</c:v>
                </c:pt>
                <c:pt idx="75">
                  <c:v>6.9258012087744597E-2</c:v>
                </c:pt>
                <c:pt idx="76">
                  <c:v>6.4405933208380603E-2</c:v>
                </c:pt>
                <c:pt idx="77">
                  <c:v>-0.23095071810463699</c:v>
                </c:pt>
                <c:pt idx="78">
                  <c:v>-0.130537076074521</c:v>
                </c:pt>
                <c:pt idx="79">
                  <c:v>-0.211444728104699</c:v>
                </c:pt>
                <c:pt idx="80">
                  <c:v>0.19686806278448499</c:v>
                </c:pt>
                <c:pt idx="81">
                  <c:v>7.20857987042587E-2</c:v>
                </c:pt>
                <c:pt idx="82">
                  <c:v>-8.8346216449597403E-4</c:v>
                </c:pt>
                <c:pt idx="83">
                  <c:v>7.3115772155984096E-2</c:v>
                </c:pt>
                <c:pt idx="84">
                  <c:v>-1.24963724399771E-2</c:v>
                </c:pt>
                <c:pt idx="85">
                  <c:v>0.29358520070743599</c:v>
                </c:pt>
                <c:pt idx="86">
                  <c:v>-8.8534359767208096E-2</c:v>
                </c:pt>
                <c:pt idx="87">
                  <c:v>1.02323570772205E-2</c:v>
                </c:pt>
                <c:pt idx="88">
                  <c:v>-0.118044853528225</c:v>
                </c:pt>
                <c:pt idx="89">
                  <c:v>-0.13041728504334399</c:v>
                </c:pt>
                <c:pt idx="90">
                  <c:v>-2.2351164997606299E-2</c:v>
                </c:pt>
                <c:pt idx="91">
                  <c:v>0.21604072573133101</c:v>
                </c:pt>
                <c:pt idx="92">
                  <c:v>0.219364239024399</c:v>
                </c:pt>
                <c:pt idx="93">
                  <c:v>0.14728593530370299</c:v>
                </c:pt>
                <c:pt idx="94">
                  <c:v>-9.7713853138779797E-2</c:v>
                </c:pt>
                <c:pt idx="95">
                  <c:v>0.22188505758068899</c:v>
                </c:pt>
                <c:pt idx="96">
                  <c:v>-8.3678339558668199E-2</c:v>
                </c:pt>
                <c:pt idx="97">
                  <c:v>5.0241935075652201E-2</c:v>
                </c:pt>
                <c:pt idx="98">
                  <c:v>0.20197656050629401</c:v>
                </c:pt>
                <c:pt idx="99">
                  <c:v>-1.82555278675611E-2</c:v>
                </c:pt>
                <c:pt idx="100">
                  <c:v>-0.215195314438859</c:v>
                </c:pt>
                <c:pt idx="101">
                  <c:v>-0.13777456661298201</c:v>
                </c:pt>
                <c:pt idx="102">
                  <c:v>0.100531205918064</c:v>
                </c:pt>
                <c:pt idx="103">
                  <c:v>-0.28147390315881599</c:v>
                </c:pt>
                <c:pt idx="104">
                  <c:v>3.4975111029568899E-2</c:v>
                </c:pt>
                <c:pt idx="105">
                  <c:v>-4.7741942930549001E-2</c:v>
                </c:pt>
                <c:pt idx="106">
                  <c:v>-8.9836636847549806E-2</c:v>
                </c:pt>
                <c:pt idx="107">
                  <c:v>2.78017123313417E-2</c:v>
                </c:pt>
                <c:pt idx="108">
                  <c:v>-0.316376678497788</c:v>
                </c:pt>
                <c:pt idx="109">
                  <c:v>1.3891494878731E-2</c:v>
                </c:pt>
                <c:pt idx="110">
                  <c:v>0.24337810539202401</c:v>
                </c:pt>
                <c:pt idx="111">
                  <c:v>-4.1913792079053103E-2</c:v>
                </c:pt>
                <c:pt idx="112">
                  <c:v>-4.5690427628901596E-3</c:v>
                </c:pt>
                <c:pt idx="113">
                  <c:v>0.175261777372375</c:v>
                </c:pt>
                <c:pt idx="114">
                  <c:v>0.19675684039531699</c:v>
                </c:pt>
                <c:pt idx="115">
                  <c:v>0.117535670063802</c:v>
                </c:pt>
                <c:pt idx="116">
                  <c:v>6.8045682357204207E-2</c:v>
                </c:pt>
                <c:pt idx="117">
                  <c:v>-0.347791554529152</c:v>
                </c:pt>
                <c:pt idx="118">
                  <c:v>-3.0240854008210898E-2</c:v>
                </c:pt>
                <c:pt idx="119">
                  <c:v>-0.22760069965474999</c:v>
                </c:pt>
                <c:pt idx="120">
                  <c:v>0.15736425857524899</c:v>
                </c:pt>
                <c:pt idx="121">
                  <c:v>7.4312005416095103E-2</c:v>
                </c:pt>
                <c:pt idx="122">
                  <c:v>0.12196846203610601</c:v>
                </c:pt>
                <c:pt idx="123">
                  <c:v>5.7473535991830402E-2</c:v>
                </c:pt>
                <c:pt idx="124">
                  <c:v>-7.3291477146786299E-2</c:v>
                </c:pt>
                <c:pt idx="125">
                  <c:v>0.16909148482311501</c:v>
                </c:pt>
                <c:pt idx="126">
                  <c:v>5.7005765662849803E-2</c:v>
                </c:pt>
                <c:pt idx="127">
                  <c:v>5.9914912772645899E-2</c:v>
                </c:pt>
                <c:pt idx="128">
                  <c:v>0.162203065931498</c:v>
                </c:pt>
                <c:pt idx="129">
                  <c:v>9.8809216294604596E-2</c:v>
                </c:pt>
                <c:pt idx="130">
                  <c:v>-0.11178849847021199</c:v>
                </c:pt>
                <c:pt idx="131">
                  <c:v>0.16624746581894501</c:v>
                </c:pt>
                <c:pt idx="132">
                  <c:v>-0.21616392781650801</c:v>
                </c:pt>
                <c:pt idx="133">
                  <c:v>-0.118831782431346</c:v>
                </c:pt>
                <c:pt idx="134">
                  <c:v>-5.2407276607554301E-2</c:v>
                </c:pt>
                <c:pt idx="135">
                  <c:v>7.5974246575373897E-2</c:v>
                </c:pt>
                <c:pt idx="136">
                  <c:v>0.17075791581283301</c:v>
                </c:pt>
                <c:pt idx="137">
                  <c:v>-0.10542047534240601</c:v>
                </c:pt>
                <c:pt idx="138">
                  <c:v>7.0547644980819293E-2</c:v>
                </c:pt>
                <c:pt idx="139">
                  <c:v>0.191531116505814</c:v>
                </c:pt>
                <c:pt idx="140">
                  <c:v>2.4993420094451001E-2</c:v>
                </c:pt>
                <c:pt idx="141">
                  <c:v>-0.114640065671149</c:v>
                </c:pt>
                <c:pt idx="142">
                  <c:v>0.20518332447972501</c:v>
                </c:pt>
                <c:pt idx="143">
                  <c:v>0.16582455995190601</c:v>
                </c:pt>
                <c:pt idx="144">
                  <c:v>9.9372378044838797E-2</c:v>
                </c:pt>
                <c:pt idx="145">
                  <c:v>-2.4625801035325499E-2</c:v>
                </c:pt>
                <c:pt idx="146">
                  <c:v>0.107835510744104</c:v>
                </c:pt>
                <c:pt idx="147">
                  <c:v>0.10555371505510699</c:v>
                </c:pt>
                <c:pt idx="148">
                  <c:v>-2.74572033299041E-2</c:v>
                </c:pt>
                <c:pt idx="149">
                  <c:v>7.8553225442344193E-2</c:v>
                </c:pt>
                <c:pt idx="150">
                  <c:v>0.21253256730733999</c:v>
                </c:pt>
                <c:pt idx="151">
                  <c:v>-8.3028134685800802E-3</c:v>
                </c:pt>
                <c:pt idx="152">
                  <c:v>-3.5206326987559301E-2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6-5643-B80C-73CC463F1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365616"/>
        <c:axId val="1698367344"/>
      </c:scatterChart>
      <c:valAx>
        <c:axId val="169836561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评价量 </a:t>
                </a:r>
                <a:r>
                  <a:rPr lang="en-US" altLang="zh-CN"/>
                  <a:t># of evaluation 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367344"/>
        <c:crosses val="autoZero"/>
        <c:crossBetween val="midCat"/>
      </c:valAx>
      <c:valAx>
        <c:axId val="169836734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3656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时长 </a:t>
            </a:r>
            <a:r>
              <a:rPr lang="en-US" altLang="zh-CN"/>
              <a:t>/ </a:t>
            </a:r>
            <a:r>
              <a:rPr lang="zh-CN" altLang="en-US"/>
              <a:t>年 </a:t>
            </a:r>
            <a:r>
              <a:rPr lang="en-US" altLang="zh-CN"/>
              <a:t>Time / years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Sheet3!$L$2:$L$154</c:f>
              <c:numCache>
                <c:formatCode>General</c:formatCode>
                <c:ptCount val="153"/>
              </c:numCache>
            </c:numRef>
          </c:xVal>
          <c:yVal>
            <c:numRef>
              <c:f>Sheet3!$C$30:$C$182</c:f>
              <c:numCache>
                <c:formatCode>General</c:formatCode>
                <c:ptCount val="153"/>
                <c:pt idx="0">
                  <c:v>-0.19256614157518501</c:v>
                </c:pt>
                <c:pt idx="1">
                  <c:v>1.19551392621489E-2</c:v>
                </c:pt>
                <c:pt idx="2">
                  <c:v>9.27470937061496E-2</c:v>
                </c:pt>
                <c:pt idx="3">
                  <c:v>3.10321102151025E-2</c:v>
                </c:pt>
                <c:pt idx="4">
                  <c:v>-0.159711168945294</c:v>
                </c:pt>
                <c:pt idx="5">
                  <c:v>0.15323981850190399</c:v>
                </c:pt>
                <c:pt idx="6">
                  <c:v>-5.7236788936183601E-3</c:v>
                </c:pt>
                <c:pt idx="7">
                  <c:v>1.9204890442818399E-2</c:v>
                </c:pt>
                <c:pt idx="8">
                  <c:v>0.39074654544166798</c:v>
                </c:pt>
                <c:pt idx="9">
                  <c:v>-0.14581488777723201</c:v>
                </c:pt>
                <c:pt idx="10">
                  <c:v>-2.2714550139796501E-2</c:v>
                </c:pt>
                <c:pt idx="11">
                  <c:v>-0.16571348630367599</c:v>
                </c:pt>
                <c:pt idx="12">
                  <c:v>4.0870200969236797E-2</c:v>
                </c:pt>
                <c:pt idx="13">
                  <c:v>-7.6808061937293295E-2</c:v>
                </c:pt>
                <c:pt idx="14">
                  <c:v>0.12836568438041901</c:v>
                </c:pt>
                <c:pt idx="15">
                  <c:v>-0.31714501570085601</c:v>
                </c:pt>
                <c:pt idx="16">
                  <c:v>6.8200256982542007E-2</c:v>
                </c:pt>
                <c:pt idx="17">
                  <c:v>5.3088090181968403E-2</c:v>
                </c:pt>
                <c:pt idx="18">
                  <c:v>-0.164729958454475</c:v>
                </c:pt>
                <c:pt idx="19">
                  <c:v>-0.40821810924817098</c:v>
                </c:pt>
                <c:pt idx="20">
                  <c:v>-0.23609857659139799</c:v>
                </c:pt>
                <c:pt idx="21">
                  <c:v>-9.3220540516541398E-2</c:v>
                </c:pt>
                <c:pt idx="22">
                  <c:v>0.17275311552914499</c:v>
                </c:pt>
                <c:pt idx="23">
                  <c:v>0.11055779445922601</c:v>
                </c:pt>
                <c:pt idx="24">
                  <c:v>-0.31103475113221102</c:v>
                </c:pt>
                <c:pt idx="25">
                  <c:v>-0.22782350126241199</c:v>
                </c:pt>
                <c:pt idx="26">
                  <c:v>8.3382355181324599E-2</c:v>
                </c:pt>
                <c:pt idx="27">
                  <c:v>-0.10812460423028</c:v>
                </c:pt>
                <c:pt idx="28">
                  <c:v>-0.271052677981174</c:v>
                </c:pt>
                <c:pt idx="29">
                  <c:v>-0.179141600765162</c:v>
                </c:pt>
                <c:pt idx="30">
                  <c:v>-0.16008034839763399</c:v>
                </c:pt>
                <c:pt idx="31">
                  <c:v>-0.12149455679334099</c:v>
                </c:pt>
                <c:pt idx="32">
                  <c:v>0.14173977584269301</c:v>
                </c:pt>
                <c:pt idx="33">
                  <c:v>0.19255132860534399</c:v>
                </c:pt>
                <c:pt idx="34">
                  <c:v>5.6584688029835697E-2</c:v>
                </c:pt>
                <c:pt idx="35">
                  <c:v>-8.2428952650424506E-2</c:v>
                </c:pt>
                <c:pt idx="36">
                  <c:v>-0.182659070255448</c:v>
                </c:pt>
                <c:pt idx="37">
                  <c:v>-0.46624192447754798</c:v>
                </c:pt>
                <c:pt idx="38">
                  <c:v>0.32051484596757401</c:v>
                </c:pt>
                <c:pt idx="39">
                  <c:v>-0.48507180443721198</c:v>
                </c:pt>
                <c:pt idx="40">
                  <c:v>3.7556944516420998E-2</c:v>
                </c:pt>
                <c:pt idx="41">
                  <c:v>-4.5386560041323201E-2</c:v>
                </c:pt>
                <c:pt idx="42">
                  <c:v>-6.9535118800605894E-2</c:v>
                </c:pt>
                <c:pt idx="43">
                  <c:v>-7.6161008130611704E-2</c:v>
                </c:pt>
                <c:pt idx="44">
                  <c:v>8.2047880308301999E-2</c:v>
                </c:pt>
                <c:pt idx="45">
                  <c:v>0.20808860210278801</c:v>
                </c:pt>
                <c:pt idx="46">
                  <c:v>0.31616452790859501</c:v>
                </c:pt>
                <c:pt idx="47">
                  <c:v>0.155511780671823</c:v>
                </c:pt>
                <c:pt idx="48">
                  <c:v>0.180588664015019</c:v>
                </c:pt>
                <c:pt idx="49">
                  <c:v>-0.19715719810042501</c:v>
                </c:pt>
                <c:pt idx="50">
                  <c:v>2.50491497597078E-2</c:v>
                </c:pt>
                <c:pt idx="51">
                  <c:v>-0.11804733346339299</c:v>
                </c:pt>
                <c:pt idx="52">
                  <c:v>9.1343836120914901E-2</c:v>
                </c:pt>
                <c:pt idx="53">
                  <c:v>2.6100785507274802E-3</c:v>
                </c:pt>
                <c:pt idx="54">
                  <c:v>1.83307288748908E-2</c:v>
                </c:pt>
                <c:pt idx="55">
                  <c:v>-0.48336173621949502</c:v>
                </c:pt>
                <c:pt idx="56">
                  <c:v>0.16598025202715</c:v>
                </c:pt>
                <c:pt idx="57">
                  <c:v>0.149213530354639</c:v>
                </c:pt>
                <c:pt idx="58">
                  <c:v>-3.57728508151922E-2</c:v>
                </c:pt>
                <c:pt idx="59">
                  <c:v>-4.2787725739676E-2</c:v>
                </c:pt>
                <c:pt idx="60">
                  <c:v>-0.21788302070674101</c:v>
                </c:pt>
                <c:pt idx="61">
                  <c:v>0.19203118234536501</c:v>
                </c:pt>
                <c:pt idx="62">
                  <c:v>-5.8058920115235502E-2</c:v>
                </c:pt>
                <c:pt idx="63">
                  <c:v>-0.118357934473607</c:v>
                </c:pt>
                <c:pt idx="64">
                  <c:v>0.18451278024756501</c:v>
                </c:pt>
                <c:pt idx="65">
                  <c:v>0.112163684031458</c:v>
                </c:pt>
                <c:pt idx="66">
                  <c:v>0.25133737215868202</c:v>
                </c:pt>
                <c:pt idx="67">
                  <c:v>0.18007998069714501</c:v>
                </c:pt>
                <c:pt idx="68">
                  <c:v>0.21935084244177</c:v>
                </c:pt>
                <c:pt idx="69">
                  <c:v>0.14766681207594001</c:v>
                </c:pt>
                <c:pt idx="70">
                  <c:v>0.12907830111218099</c:v>
                </c:pt>
                <c:pt idx="71">
                  <c:v>-0.26094917004679302</c:v>
                </c:pt>
                <c:pt idx="72">
                  <c:v>0.190288394613886</c:v>
                </c:pt>
                <c:pt idx="73">
                  <c:v>-0.36342968936474901</c:v>
                </c:pt>
                <c:pt idx="74">
                  <c:v>-0.109637437536223</c:v>
                </c:pt>
                <c:pt idx="75">
                  <c:v>6.9258012087744597E-2</c:v>
                </c:pt>
                <c:pt idx="76">
                  <c:v>6.4405933208380603E-2</c:v>
                </c:pt>
                <c:pt idx="77">
                  <c:v>-0.23095071810463699</c:v>
                </c:pt>
                <c:pt idx="78">
                  <c:v>-0.130537076074521</c:v>
                </c:pt>
                <c:pt idx="79">
                  <c:v>-0.211444728104699</c:v>
                </c:pt>
                <c:pt idx="80">
                  <c:v>0.19686806278448499</c:v>
                </c:pt>
                <c:pt idx="81">
                  <c:v>7.20857987042587E-2</c:v>
                </c:pt>
                <c:pt idx="82">
                  <c:v>-8.8346216449597403E-4</c:v>
                </c:pt>
                <c:pt idx="83">
                  <c:v>7.3115772155984096E-2</c:v>
                </c:pt>
                <c:pt idx="84">
                  <c:v>-1.24963724399771E-2</c:v>
                </c:pt>
                <c:pt idx="85">
                  <c:v>0.29358520070743599</c:v>
                </c:pt>
                <c:pt idx="86">
                  <c:v>-8.8534359767208096E-2</c:v>
                </c:pt>
                <c:pt idx="87">
                  <c:v>1.02323570772205E-2</c:v>
                </c:pt>
                <c:pt idx="88">
                  <c:v>-0.118044853528225</c:v>
                </c:pt>
                <c:pt idx="89">
                  <c:v>-0.13041728504334399</c:v>
                </c:pt>
                <c:pt idx="90">
                  <c:v>-2.2351164997606299E-2</c:v>
                </c:pt>
                <c:pt idx="91">
                  <c:v>0.21604072573133101</c:v>
                </c:pt>
                <c:pt idx="92">
                  <c:v>0.219364239024399</c:v>
                </c:pt>
                <c:pt idx="93">
                  <c:v>0.14728593530370299</c:v>
                </c:pt>
                <c:pt idx="94">
                  <c:v>-9.7713853138779797E-2</c:v>
                </c:pt>
                <c:pt idx="95">
                  <c:v>0.22188505758068899</c:v>
                </c:pt>
                <c:pt idx="96">
                  <c:v>-8.3678339558668199E-2</c:v>
                </c:pt>
                <c:pt idx="97">
                  <c:v>5.0241935075652201E-2</c:v>
                </c:pt>
                <c:pt idx="98">
                  <c:v>0.20197656050629401</c:v>
                </c:pt>
                <c:pt idx="99">
                  <c:v>-1.82555278675611E-2</c:v>
                </c:pt>
                <c:pt idx="100">
                  <c:v>-0.215195314438859</c:v>
                </c:pt>
                <c:pt idx="101">
                  <c:v>-0.13777456661298201</c:v>
                </c:pt>
                <c:pt idx="102">
                  <c:v>0.100531205918064</c:v>
                </c:pt>
                <c:pt idx="103">
                  <c:v>-0.28147390315881599</c:v>
                </c:pt>
                <c:pt idx="104">
                  <c:v>3.4975111029568899E-2</c:v>
                </c:pt>
                <c:pt idx="105">
                  <c:v>-4.7741942930549001E-2</c:v>
                </c:pt>
                <c:pt idx="106">
                  <c:v>-8.9836636847549806E-2</c:v>
                </c:pt>
                <c:pt idx="107">
                  <c:v>2.78017123313417E-2</c:v>
                </c:pt>
                <c:pt idx="108">
                  <c:v>-0.316376678497788</c:v>
                </c:pt>
                <c:pt idx="109">
                  <c:v>1.3891494878731E-2</c:v>
                </c:pt>
                <c:pt idx="110">
                  <c:v>0.24337810539202401</c:v>
                </c:pt>
                <c:pt idx="111">
                  <c:v>-4.1913792079053103E-2</c:v>
                </c:pt>
                <c:pt idx="112">
                  <c:v>-4.5690427628901596E-3</c:v>
                </c:pt>
                <c:pt idx="113">
                  <c:v>0.175261777372375</c:v>
                </c:pt>
                <c:pt idx="114">
                  <c:v>0.19675684039531699</c:v>
                </c:pt>
                <c:pt idx="115">
                  <c:v>0.117535670063802</c:v>
                </c:pt>
                <c:pt idx="116">
                  <c:v>6.8045682357204207E-2</c:v>
                </c:pt>
                <c:pt idx="117">
                  <c:v>-0.347791554529152</c:v>
                </c:pt>
                <c:pt idx="118">
                  <c:v>-3.0240854008210898E-2</c:v>
                </c:pt>
                <c:pt idx="119">
                  <c:v>-0.22760069965474999</c:v>
                </c:pt>
                <c:pt idx="120">
                  <c:v>0.15736425857524899</c:v>
                </c:pt>
                <c:pt idx="121">
                  <c:v>7.4312005416095103E-2</c:v>
                </c:pt>
                <c:pt idx="122">
                  <c:v>0.12196846203610601</c:v>
                </c:pt>
                <c:pt idx="123">
                  <c:v>5.7473535991830402E-2</c:v>
                </c:pt>
                <c:pt idx="124">
                  <c:v>-7.3291477146786299E-2</c:v>
                </c:pt>
                <c:pt idx="125">
                  <c:v>0.16909148482311501</c:v>
                </c:pt>
                <c:pt idx="126">
                  <c:v>5.7005765662849803E-2</c:v>
                </c:pt>
                <c:pt idx="127">
                  <c:v>5.9914912772645899E-2</c:v>
                </c:pt>
                <c:pt idx="128">
                  <c:v>0.162203065931498</c:v>
                </c:pt>
                <c:pt idx="129">
                  <c:v>9.8809216294604596E-2</c:v>
                </c:pt>
                <c:pt idx="130">
                  <c:v>-0.11178849847021199</c:v>
                </c:pt>
                <c:pt idx="131">
                  <c:v>0.16624746581894501</c:v>
                </c:pt>
                <c:pt idx="132">
                  <c:v>-0.21616392781650801</c:v>
                </c:pt>
                <c:pt idx="133">
                  <c:v>-0.118831782431346</c:v>
                </c:pt>
                <c:pt idx="134">
                  <c:v>-5.2407276607554301E-2</c:v>
                </c:pt>
                <c:pt idx="135">
                  <c:v>7.5974246575373897E-2</c:v>
                </c:pt>
                <c:pt idx="136">
                  <c:v>0.17075791581283301</c:v>
                </c:pt>
                <c:pt idx="137">
                  <c:v>-0.10542047534240601</c:v>
                </c:pt>
                <c:pt idx="138">
                  <c:v>7.0547644980819293E-2</c:v>
                </c:pt>
                <c:pt idx="139">
                  <c:v>0.191531116505814</c:v>
                </c:pt>
                <c:pt idx="140">
                  <c:v>2.4993420094451001E-2</c:v>
                </c:pt>
                <c:pt idx="141">
                  <c:v>-0.114640065671149</c:v>
                </c:pt>
                <c:pt idx="142">
                  <c:v>0.20518332447972501</c:v>
                </c:pt>
                <c:pt idx="143">
                  <c:v>0.16582455995190601</c:v>
                </c:pt>
                <c:pt idx="144">
                  <c:v>9.9372378044838797E-2</c:v>
                </c:pt>
                <c:pt idx="145">
                  <c:v>-2.4625801035325499E-2</c:v>
                </c:pt>
                <c:pt idx="146">
                  <c:v>0.107835510744104</c:v>
                </c:pt>
                <c:pt idx="147">
                  <c:v>0.10555371505510699</c:v>
                </c:pt>
                <c:pt idx="148">
                  <c:v>-2.74572033299041E-2</c:v>
                </c:pt>
                <c:pt idx="149">
                  <c:v>7.8553225442344193E-2</c:v>
                </c:pt>
                <c:pt idx="150">
                  <c:v>0.21253256730733999</c:v>
                </c:pt>
                <c:pt idx="151">
                  <c:v>-8.3028134685800802E-3</c:v>
                </c:pt>
                <c:pt idx="152">
                  <c:v>-3.5206326987559301E-2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3-3E40-89BA-C5D4DE079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374896"/>
        <c:axId val="1698352720"/>
      </c:scatterChart>
      <c:valAx>
        <c:axId val="16983748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时长 </a:t>
                </a:r>
                <a:r>
                  <a:rPr lang="en-US" altLang="zh-CN"/>
                  <a:t>/ </a:t>
                </a:r>
                <a:r>
                  <a:rPr lang="zh-CN" altLang="en-US"/>
                  <a:t>年 </a:t>
                </a:r>
                <a:r>
                  <a:rPr lang="en-US" altLang="zh-CN"/>
                  <a:t>Time / 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352720"/>
        <c:crosses val="autoZero"/>
        <c:crossBetween val="midCat"/>
      </c:valAx>
      <c:valAx>
        <c:axId val="169835272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37489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年度星级商户次数 </a:t>
            </a:r>
            <a:r>
              <a:rPr lang="en-US" altLang="zh-CN"/>
              <a:t>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Sheet3!$M$2:$M$154</c:f>
              <c:numCache>
                <c:formatCode>General</c:formatCode>
                <c:ptCount val="153"/>
              </c:numCache>
            </c:numRef>
          </c:xVal>
          <c:yVal>
            <c:numRef>
              <c:f>Sheet3!$C$30:$C$182</c:f>
              <c:numCache>
                <c:formatCode>General</c:formatCode>
                <c:ptCount val="153"/>
                <c:pt idx="0">
                  <c:v>-0.19256614157518501</c:v>
                </c:pt>
                <c:pt idx="1">
                  <c:v>1.19551392621489E-2</c:v>
                </c:pt>
                <c:pt idx="2">
                  <c:v>9.27470937061496E-2</c:v>
                </c:pt>
                <c:pt idx="3">
                  <c:v>3.10321102151025E-2</c:v>
                </c:pt>
                <c:pt idx="4">
                  <c:v>-0.159711168945294</c:v>
                </c:pt>
                <c:pt idx="5">
                  <c:v>0.15323981850190399</c:v>
                </c:pt>
                <c:pt idx="6">
                  <c:v>-5.7236788936183601E-3</c:v>
                </c:pt>
                <c:pt idx="7">
                  <c:v>1.9204890442818399E-2</c:v>
                </c:pt>
                <c:pt idx="8">
                  <c:v>0.39074654544166798</c:v>
                </c:pt>
                <c:pt idx="9">
                  <c:v>-0.14581488777723201</c:v>
                </c:pt>
                <c:pt idx="10">
                  <c:v>-2.2714550139796501E-2</c:v>
                </c:pt>
                <c:pt idx="11">
                  <c:v>-0.16571348630367599</c:v>
                </c:pt>
                <c:pt idx="12">
                  <c:v>4.0870200969236797E-2</c:v>
                </c:pt>
                <c:pt idx="13">
                  <c:v>-7.6808061937293295E-2</c:v>
                </c:pt>
                <c:pt idx="14">
                  <c:v>0.12836568438041901</c:v>
                </c:pt>
                <c:pt idx="15">
                  <c:v>-0.31714501570085601</c:v>
                </c:pt>
                <c:pt idx="16">
                  <c:v>6.8200256982542007E-2</c:v>
                </c:pt>
                <c:pt idx="17">
                  <c:v>5.3088090181968403E-2</c:v>
                </c:pt>
                <c:pt idx="18">
                  <c:v>-0.164729958454475</c:v>
                </c:pt>
                <c:pt idx="19">
                  <c:v>-0.40821810924817098</c:v>
                </c:pt>
                <c:pt idx="20">
                  <c:v>-0.23609857659139799</c:v>
                </c:pt>
                <c:pt idx="21">
                  <c:v>-9.3220540516541398E-2</c:v>
                </c:pt>
                <c:pt idx="22">
                  <c:v>0.17275311552914499</c:v>
                </c:pt>
                <c:pt idx="23">
                  <c:v>0.11055779445922601</c:v>
                </c:pt>
                <c:pt idx="24">
                  <c:v>-0.31103475113221102</c:v>
                </c:pt>
                <c:pt idx="25">
                  <c:v>-0.22782350126241199</c:v>
                </c:pt>
                <c:pt idx="26">
                  <c:v>8.3382355181324599E-2</c:v>
                </c:pt>
                <c:pt idx="27">
                  <c:v>-0.10812460423028</c:v>
                </c:pt>
                <c:pt idx="28">
                  <c:v>-0.271052677981174</c:v>
                </c:pt>
                <c:pt idx="29">
                  <c:v>-0.179141600765162</c:v>
                </c:pt>
                <c:pt idx="30">
                  <c:v>-0.16008034839763399</c:v>
                </c:pt>
                <c:pt idx="31">
                  <c:v>-0.12149455679334099</c:v>
                </c:pt>
                <c:pt idx="32">
                  <c:v>0.14173977584269301</c:v>
                </c:pt>
                <c:pt idx="33">
                  <c:v>0.19255132860534399</c:v>
                </c:pt>
                <c:pt idx="34">
                  <c:v>5.6584688029835697E-2</c:v>
                </c:pt>
                <c:pt idx="35">
                  <c:v>-8.2428952650424506E-2</c:v>
                </c:pt>
                <c:pt idx="36">
                  <c:v>-0.182659070255448</c:v>
                </c:pt>
                <c:pt idx="37">
                  <c:v>-0.46624192447754798</c:v>
                </c:pt>
                <c:pt idx="38">
                  <c:v>0.32051484596757401</c:v>
                </c:pt>
                <c:pt idx="39">
                  <c:v>-0.48507180443721198</c:v>
                </c:pt>
                <c:pt idx="40">
                  <c:v>3.7556944516420998E-2</c:v>
                </c:pt>
                <c:pt idx="41">
                  <c:v>-4.5386560041323201E-2</c:v>
                </c:pt>
                <c:pt idx="42">
                  <c:v>-6.9535118800605894E-2</c:v>
                </c:pt>
                <c:pt idx="43">
                  <c:v>-7.6161008130611704E-2</c:v>
                </c:pt>
                <c:pt idx="44">
                  <c:v>8.2047880308301999E-2</c:v>
                </c:pt>
                <c:pt idx="45">
                  <c:v>0.20808860210278801</c:v>
                </c:pt>
                <c:pt idx="46">
                  <c:v>0.31616452790859501</c:v>
                </c:pt>
                <c:pt idx="47">
                  <c:v>0.155511780671823</c:v>
                </c:pt>
                <c:pt idx="48">
                  <c:v>0.180588664015019</c:v>
                </c:pt>
                <c:pt idx="49">
                  <c:v>-0.19715719810042501</c:v>
                </c:pt>
                <c:pt idx="50">
                  <c:v>2.50491497597078E-2</c:v>
                </c:pt>
                <c:pt idx="51">
                  <c:v>-0.11804733346339299</c:v>
                </c:pt>
                <c:pt idx="52">
                  <c:v>9.1343836120914901E-2</c:v>
                </c:pt>
                <c:pt idx="53">
                  <c:v>2.6100785507274802E-3</c:v>
                </c:pt>
                <c:pt idx="54">
                  <c:v>1.83307288748908E-2</c:v>
                </c:pt>
                <c:pt idx="55">
                  <c:v>-0.48336173621949502</c:v>
                </c:pt>
                <c:pt idx="56">
                  <c:v>0.16598025202715</c:v>
                </c:pt>
                <c:pt idx="57">
                  <c:v>0.149213530354639</c:v>
                </c:pt>
                <c:pt idx="58">
                  <c:v>-3.57728508151922E-2</c:v>
                </c:pt>
                <c:pt idx="59">
                  <c:v>-4.2787725739676E-2</c:v>
                </c:pt>
                <c:pt idx="60">
                  <c:v>-0.21788302070674101</c:v>
                </c:pt>
                <c:pt idx="61">
                  <c:v>0.19203118234536501</c:v>
                </c:pt>
                <c:pt idx="62">
                  <c:v>-5.8058920115235502E-2</c:v>
                </c:pt>
                <c:pt idx="63">
                  <c:v>-0.118357934473607</c:v>
                </c:pt>
                <c:pt idx="64">
                  <c:v>0.18451278024756501</c:v>
                </c:pt>
                <c:pt idx="65">
                  <c:v>0.112163684031458</c:v>
                </c:pt>
                <c:pt idx="66">
                  <c:v>0.25133737215868202</c:v>
                </c:pt>
                <c:pt idx="67">
                  <c:v>0.18007998069714501</c:v>
                </c:pt>
                <c:pt idx="68">
                  <c:v>0.21935084244177</c:v>
                </c:pt>
                <c:pt idx="69">
                  <c:v>0.14766681207594001</c:v>
                </c:pt>
                <c:pt idx="70">
                  <c:v>0.12907830111218099</c:v>
                </c:pt>
                <c:pt idx="71">
                  <c:v>-0.26094917004679302</c:v>
                </c:pt>
                <c:pt idx="72">
                  <c:v>0.190288394613886</c:v>
                </c:pt>
                <c:pt idx="73">
                  <c:v>-0.36342968936474901</c:v>
                </c:pt>
                <c:pt idx="74">
                  <c:v>-0.109637437536223</c:v>
                </c:pt>
                <c:pt idx="75">
                  <c:v>6.9258012087744597E-2</c:v>
                </c:pt>
                <c:pt idx="76">
                  <c:v>6.4405933208380603E-2</c:v>
                </c:pt>
                <c:pt idx="77">
                  <c:v>-0.23095071810463699</c:v>
                </c:pt>
                <c:pt idx="78">
                  <c:v>-0.130537076074521</c:v>
                </c:pt>
                <c:pt idx="79">
                  <c:v>-0.211444728104699</c:v>
                </c:pt>
                <c:pt idx="80">
                  <c:v>0.19686806278448499</c:v>
                </c:pt>
                <c:pt idx="81">
                  <c:v>7.20857987042587E-2</c:v>
                </c:pt>
                <c:pt idx="82">
                  <c:v>-8.8346216449597403E-4</c:v>
                </c:pt>
                <c:pt idx="83">
                  <c:v>7.3115772155984096E-2</c:v>
                </c:pt>
                <c:pt idx="84">
                  <c:v>-1.24963724399771E-2</c:v>
                </c:pt>
                <c:pt idx="85">
                  <c:v>0.29358520070743599</c:v>
                </c:pt>
                <c:pt idx="86">
                  <c:v>-8.8534359767208096E-2</c:v>
                </c:pt>
                <c:pt idx="87">
                  <c:v>1.02323570772205E-2</c:v>
                </c:pt>
                <c:pt idx="88">
                  <c:v>-0.118044853528225</c:v>
                </c:pt>
                <c:pt idx="89">
                  <c:v>-0.13041728504334399</c:v>
                </c:pt>
                <c:pt idx="90">
                  <c:v>-2.2351164997606299E-2</c:v>
                </c:pt>
                <c:pt idx="91">
                  <c:v>0.21604072573133101</c:v>
                </c:pt>
                <c:pt idx="92">
                  <c:v>0.219364239024399</c:v>
                </c:pt>
                <c:pt idx="93">
                  <c:v>0.14728593530370299</c:v>
                </c:pt>
                <c:pt idx="94">
                  <c:v>-9.7713853138779797E-2</c:v>
                </c:pt>
                <c:pt idx="95">
                  <c:v>0.22188505758068899</c:v>
                </c:pt>
                <c:pt idx="96">
                  <c:v>-8.3678339558668199E-2</c:v>
                </c:pt>
                <c:pt idx="97">
                  <c:v>5.0241935075652201E-2</c:v>
                </c:pt>
                <c:pt idx="98">
                  <c:v>0.20197656050629401</c:v>
                </c:pt>
                <c:pt idx="99">
                  <c:v>-1.82555278675611E-2</c:v>
                </c:pt>
                <c:pt idx="100">
                  <c:v>-0.215195314438859</c:v>
                </c:pt>
                <c:pt idx="101">
                  <c:v>-0.13777456661298201</c:v>
                </c:pt>
                <c:pt idx="102">
                  <c:v>0.100531205918064</c:v>
                </c:pt>
                <c:pt idx="103">
                  <c:v>-0.28147390315881599</c:v>
                </c:pt>
                <c:pt idx="104">
                  <c:v>3.4975111029568899E-2</c:v>
                </c:pt>
                <c:pt idx="105">
                  <c:v>-4.7741942930549001E-2</c:v>
                </c:pt>
                <c:pt idx="106">
                  <c:v>-8.9836636847549806E-2</c:v>
                </c:pt>
                <c:pt idx="107">
                  <c:v>2.78017123313417E-2</c:v>
                </c:pt>
                <c:pt idx="108">
                  <c:v>-0.316376678497788</c:v>
                </c:pt>
                <c:pt idx="109">
                  <c:v>1.3891494878731E-2</c:v>
                </c:pt>
                <c:pt idx="110">
                  <c:v>0.24337810539202401</c:v>
                </c:pt>
                <c:pt idx="111">
                  <c:v>-4.1913792079053103E-2</c:v>
                </c:pt>
                <c:pt idx="112">
                  <c:v>-4.5690427628901596E-3</c:v>
                </c:pt>
                <c:pt idx="113">
                  <c:v>0.175261777372375</c:v>
                </c:pt>
                <c:pt idx="114">
                  <c:v>0.19675684039531699</c:v>
                </c:pt>
                <c:pt idx="115">
                  <c:v>0.117535670063802</c:v>
                </c:pt>
                <c:pt idx="116">
                  <c:v>6.8045682357204207E-2</c:v>
                </c:pt>
                <c:pt idx="117">
                  <c:v>-0.347791554529152</c:v>
                </c:pt>
                <c:pt idx="118">
                  <c:v>-3.0240854008210898E-2</c:v>
                </c:pt>
                <c:pt idx="119">
                  <c:v>-0.22760069965474999</c:v>
                </c:pt>
                <c:pt idx="120">
                  <c:v>0.15736425857524899</c:v>
                </c:pt>
                <c:pt idx="121">
                  <c:v>7.4312005416095103E-2</c:v>
                </c:pt>
                <c:pt idx="122">
                  <c:v>0.12196846203610601</c:v>
                </c:pt>
                <c:pt idx="123">
                  <c:v>5.7473535991830402E-2</c:v>
                </c:pt>
                <c:pt idx="124">
                  <c:v>-7.3291477146786299E-2</c:v>
                </c:pt>
                <c:pt idx="125">
                  <c:v>0.16909148482311501</c:v>
                </c:pt>
                <c:pt idx="126">
                  <c:v>5.7005765662849803E-2</c:v>
                </c:pt>
                <c:pt idx="127">
                  <c:v>5.9914912772645899E-2</c:v>
                </c:pt>
                <c:pt idx="128">
                  <c:v>0.162203065931498</c:v>
                </c:pt>
                <c:pt idx="129">
                  <c:v>9.8809216294604596E-2</c:v>
                </c:pt>
                <c:pt idx="130">
                  <c:v>-0.11178849847021199</c:v>
                </c:pt>
                <c:pt idx="131">
                  <c:v>0.16624746581894501</c:v>
                </c:pt>
                <c:pt idx="132">
                  <c:v>-0.21616392781650801</c:v>
                </c:pt>
                <c:pt idx="133">
                  <c:v>-0.118831782431346</c:v>
                </c:pt>
                <c:pt idx="134">
                  <c:v>-5.2407276607554301E-2</c:v>
                </c:pt>
                <c:pt idx="135">
                  <c:v>7.5974246575373897E-2</c:v>
                </c:pt>
                <c:pt idx="136">
                  <c:v>0.17075791581283301</c:v>
                </c:pt>
                <c:pt idx="137">
                  <c:v>-0.10542047534240601</c:v>
                </c:pt>
                <c:pt idx="138">
                  <c:v>7.0547644980819293E-2</c:v>
                </c:pt>
                <c:pt idx="139">
                  <c:v>0.191531116505814</c:v>
                </c:pt>
                <c:pt idx="140">
                  <c:v>2.4993420094451001E-2</c:v>
                </c:pt>
                <c:pt idx="141">
                  <c:v>-0.114640065671149</c:v>
                </c:pt>
                <c:pt idx="142">
                  <c:v>0.20518332447972501</c:v>
                </c:pt>
                <c:pt idx="143">
                  <c:v>0.16582455995190601</c:v>
                </c:pt>
                <c:pt idx="144">
                  <c:v>9.9372378044838797E-2</c:v>
                </c:pt>
                <c:pt idx="145">
                  <c:v>-2.4625801035325499E-2</c:v>
                </c:pt>
                <c:pt idx="146">
                  <c:v>0.107835510744104</c:v>
                </c:pt>
                <c:pt idx="147">
                  <c:v>0.10555371505510699</c:v>
                </c:pt>
                <c:pt idx="148">
                  <c:v>-2.74572033299041E-2</c:v>
                </c:pt>
                <c:pt idx="149">
                  <c:v>7.8553225442344193E-2</c:v>
                </c:pt>
                <c:pt idx="150">
                  <c:v>0.21253256730733999</c:v>
                </c:pt>
                <c:pt idx="151">
                  <c:v>-8.3028134685800802E-3</c:v>
                </c:pt>
                <c:pt idx="152">
                  <c:v>-3.5206326987559301E-2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49-F84D-8820-4507F2D15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049744"/>
        <c:axId val="1698443264"/>
      </c:scatterChart>
      <c:valAx>
        <c:axId val="16980497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年度星级商户次数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443264"/>
        <c:crosses val="autoZero"/>
        <c:crossBetween val="midCat"/>
      </c:valAx>
      <c:valAx>
        <c:axId val="169844326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0497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同城分店 </a:t>
            </a:r>
            <a:r>
              <a:rPr lang="en-US" altLang="zh-CN"/>
              <a:t>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Sheet3!$N$2:$N$154</c:f>
              <c:numCache>
                <c:formatCode>General</c:formatCode>
                <c:ptCount val="153"/>
              </c:numCache>
            </c:numRef>
          </c:xVal>
          <c:yVal>
            <c:numRef>
              <c:f>Sheet3!$C$30:$C$182</c:f>
              <c:numCache>
                <c:formatCode>General</c:formatCode>
                <c:ptCount val="153"/>
                <c:pt idx="0">
                  <c:v>-0.19256614157518501</c:v>
                </c:pt>
                <c:pt idx="1">
                  <c:v>1.19551392621489E-2</c:v>
                </c:pt>
                <c:pt idx="2">
                  <c:v>9.27470937061496E-2</c:v>
                </c:pt>
                <c:pt idx="3">
                  <c:v>3.10321102151025E-2</c:v>
                </c:pt>
                <c:pt idx="4">
                  <c:v>-0.159711168945294</c:v>
                </c:pt>
                <c:pt idx="5">
                  <c:v>0.15323981850190399</c:v>
                </c:pt>
                <c:pt idx="6">
                  <c:v>-5.7236788936183601E-3</c:v>
                </c:pt>
                <c:pt idx="7">
                  <c:v>1.9204890442818399E-2</c:v>
                </c:pt>
                <c:pt idx="8">
                  <c:v>0.39074654544166798</c:v>
                </c:pt>
                <c:pt idx="9">
                  <c:v>-0.14581488777723201</c:v>
                </c:pt>
                <c:pt idx="10">
                  <c:v>-2.2714550139796501E-2</c:v>
                </c:pt>
                <c:pt idx="11">
                  <c:v>-0.16571348630367599</c:v>
                </c:pt>
                <c:pt idx="12">
                  <c:v>4.0870200969236797E-2</c:v>
                </c:pt>
                <c:pt idx="13">
                  <c:v>-7.6808061937293295E-2</c:v>
                </c:pt>
                <c:pt idx="14">
                  <c:v>0.12836568438041901</c:v>
                </c:pt>
                <c:pt idx="15">
                  <c:v>-0.31714501570085601</c:v>
                </c:pt>
                <c:pt idx="16">
                  <c:v>6.8200256982542007E-2</c:v>
                </c:pt>
                <c:pt idx="17">
                  <c:v>5.3088090181968403E-2</c:v>
                </c:pt>
                <c:pt idx="18">
                  <c:v>-0.164729958454475</c:v>
                </c:pt>
                <c:pt idx="19">
                  <c:v>-0.40821810924817098</c:v>
                </c:pt>
                <c:pt idx="20">
                  <c:v>-0.23609857659139799</c:v>
                </c:pt>
                <c:pt idx="21">
                  <c:v>-9.3220540516541398E-2</c:v>
                </c:pt>
                <c:pt idx="22">
                  <c:v>0.17275311552914499</c:v>
                </c:pt>
                <c:pt idx="23">
                  <c:v>0.11055779445922601</c:v>
                </c:pt>
                <c:pt idx="24">
                  <c:v>-0.31103475113221102</c:v>
                </c:pt>
                <c:pt idx="25">
                  <c:v>-0.22782350126241199</c:v>
                </c:pt>
                <c:pt idx="26">
                  <c:v>8.3382355181324599E-2</c:v>
                </c:pt>
                <c:pt idx="27">
                  <c:v>-0.10812460423028</c:v>
                </c:pt>
                <c:pt idx="28">
                  <c:v>-0.271052677981174</c:v>
                </c:pt>
                <c:pt idx="29">
                  <c:v>-0.179141600765162</c:v>
                </c:pt>
                <c:pt idx="30">
                  <c:v>-0.16008034839763399</c:v>
                </c:pt>
                <c:pt idx="31">
                  <c:v>-0.12149455679334099</c:v>
                </c:pt>
                <c:pt idx="32">
                  <c:v>0.14173977584269301</c:v>
                </c:pt>
                <c:pt idx="33">
                  <c:v>0.19255132860534399</c:v>
                </c:pt>
                <c:pt idx="34">
                  <c:v>5.6584688029835697E-2</c:v>
                </c:pt>
                <c:pt idx="35">
                  <c:v>-8.2428952650424506E-2</c:v>
                </c:pt>
                <c:pt idx="36">
                  <c:v>-0.182659070255448</c:v>
                </c:pt>
                <c:pt idx="37">
                  <c:v>-0.46624192447754798</c:v>
                </c:pt>
                <c:pt idx="38">
                  <c:v>0.32051484596757401</c:v>
                </c:pt>
                <c:pt idx="39">
                  <c:v>-0.48507180443721198</c:v>
                </c:pt>
                <c:pt idx="40">
                  <c:v>3.7556944516420998E-2</c:v>
                </c:pt>
                <c:pt idx="41">
                  <c:v>-4.5386560041323201E-2</c:v>
                </c:pt>
                <c:pt idx="42">
                  <c:v>-6.9535118800605894E-2</c:v>
                </c:pt>
                <c:pt idx="43">
                  <c:v>-7.6161008130611704E-2</c:v>
                </c:pt>
                <c:pt idx="44">
                  <c:v>8.2047880308301999E-2</c:v>
                </c:pt>
                <c:pt idx="45">
                  <c:v>0.20808860210278801</c:v>
                </c:pt>
                <c:pt idx="46">
                  <c:v>0.31616452790859501</c:v>
                </c:pt>
                <c:pt idx="47">
                  <c:v>0.155511780671823</c:v>
                </c:pt>
                <c:pt idx="48">
                  <c:v>0.180588664015019</c:v>
                </c:pt>
                <c:pt idx="49">
                  <c:v>-0.19715719810042501</c:v>
                </c:pt>
                <c:pt idx="50">
                  <c:v>2.50491497597078E-2</c:v>
                </c:pt>
                <c:pt idx="51">
                  <c:v>-0.11804733346339299</c:v>
                </c:pt>
                <c:pt idx="52">
                  <c:v>9.1343836120914901E-2</c:v>
                </c:pt>
                <c:pt idx="53">
                  <c:v>2.6100785507274802E-3</c:v>
                </c:pt>
                <c:pt idx="54">
                  <c:v>1.83307288748908E-2</c:v>
                </c:pt>
                <c:pt idx="55">
                  <c:v>-0.48336173621949502</c:v>
                </c:pt>
                <c:pt idx="56">
                  <c:v>0.16598025202715</c:v>
                </c:pt>
                <c:pt idx="57">
                  <c:v>0.149213530354639</c:v>
                </c:pt>
                <c:pt idx="58">
                  <c:v>-3.57728508151922E-2</c:v>
                </c:pt>
                <c:pt idx="59">
                  <c:v>-4.2787725739676E-2</c:v>
                </c:pt>
                <c:pt idx="60">
                  <c:v>-0.21788302070674101</c:v>
                </c:pt>
                <c:pt idx="61">
                  <c:v>0.19203118234536501</c:v>
                </c:pt>
                <c:pt idx="62">
                  <c:v>-5.8058920115235502E-2</c:v>
                </c:pt>
                <c:pt idx="63">
                  <c:v>-0.118357934473607</c:v>
                </c:pt>
                <c:pt idx="64">
                  <c:v>0.18451278024756501</c:v>
                </c:pt>
                <c:pt idx="65">
                  <c:v>0.112163684031458</c:v>
                </c:pt>
                <c:pt idx="66">
                  <c:v>0.25133737215868202</c:v>
                </c:pt>
                <c:pt idx="67">
                  <c:v>0.18007998069714501</c:v>
                </c:pt>
                <c:pt idx="68">
                  <c:v>0.21935084244177</c:v>
                </c:pt>
                <c:pt idx="69">
                  <c:v>0.14766681207594001</c:v>
                </c:pt>
                <c:pt idx="70">
                  <c:v>0.12907830111218099</c:v>
                </c:pt>
                <c:pt idx="71">
                  <c:v>-0.26094917004679302</c:v>
                </c:pt>
                <c:pt idx="72">
                  <c:v>0.190288394613886</c:v>
                </c:pt>
                <c:pt idx="73">
                  <c:v>-0.36342968936474901</c:v>
                </c:pt>
                <c:pt idx="74">
                  <c:v>-0.109637437536223</c:v>
                </c:pt>
                <c:pt idx="75">
                  <c:v>6.9258012087744597E-2</c:v>
                </c:pt>
                <c:pt idx="76">
                  <c:v>6.4405933208380603E-2</c:v>
                </c:pt>
                <c:pt idx="77">
                  <c:v>-0.23095071810463699</c:v>
                </c:pt>
                <c:pt idx="78">
                  <c:v>-0.130537076074521</c:v>
                </c:pt>
                <c:pt idx="79">
                  <c:v>-0.211444728104699</c:v>
                </c:pt>
                <c:pt idx="80">
                  <c:v>0.19686806278448499</c:v>
                </c:pt>
                <c:pt idx="81">
                  <c:v>7.20857987042587E-2</c:v>
                </c:pt>
                <c:pt idx="82">
                  <c:v>-8.8346216449597403E-4</c:v>
                </c:pt>
                <c:pt idx="83">
                  <c:v>7.3115772155984096E-2</c:v>
                </c:pt>
                <c:pt idx="84">
                  <c:v>-1.24963724399771E-2</c:v>
                </c:pt>
                <c:pt idx="85">
                  <c:v>0.29358520070743599</c:v>
                </c:pt>
                <c:pt idx="86">
                  <c:v>-8.8534359767208096E-2</c:v>
                </c:pt>
                <c:pt idx="87">
                  <c:v>1.02323570772205E-2</c:v>
                </c:pt>
                <c:pt idx="88">
                  <c:v>-0.118044853528225</c:v>
                </c:pt>
                <c:pt idx="89">
                  <c:v>-0.13041728504334399</c:v>
                </c:pt>
                <c:pt idx="90">
                  <c:v>-2.2351164997606299E-2</c:v>
                </c:pt>
                <c:pt idx="91">
                  <c:v>0.21604072573133101</c:v>
                </c:pt>
                <c:pt idx="92">
                  <c:v>0.219364239024399</c:v>
                </c:pt>
                <c:pt idx="93">
                  <c:v>0.14728593530370299</c:v>
                </c:pt>
                <c:pt idx="94">
                  <c:v>-9.7713853138779797E-2</c:v>
                </c:pt>
                <c:pt idx="95">
                  <c:v>0.22188505758068899</c:v>
                </c:pt>
                <c:pt idx="96">
                  <c:v>-8.3678339558668199E-2</c:v>
                </c:pt>
                <c:pt idx="97">
                  <c:v>5.0241935075652201E-2</c:v>
                </c:pt>
                <c:pt idx="98">
                  <c:v>0.20197656050629401</c:v>
                </c:pt>
                <c:pt idx="99">
                  <c:v>-1.82555278675611E-2</c:v>
                </c:pt>
                <c:pt idx="100">
                  <c:v>-0.215195314438859</c:v>
                </c:pt>
                <c:pt idx="101">
                  <c:v>-0.13777456661298201</c:v>
                </c:pt>
                <c:pt idx="102">
                  <c:v>0.100531205918064</c:v>
                </c:pt>
                <c:pt idx="103">
                  <c:v>-0.28147390315881599</c:v>
                </c:pt>
                <c:pt idx="104">
                  <c:v>3.4975111029568899E-2</c:v>
                </c:pt>
                <c:pt idx="105">
                  <c:v>-4.7741942930549001E-2</c:v>
                </c:pt>
                <c:pt idx="106">
                  <c:v>-8.9836636847549806E-2</c:v>
                </c:pt>
                <c:pt idx="107">
                  <c:v>2.78017123313417E-2</c:v>
                </c:pt>
                <c:pt idx="108">
                  <c:v>-0.316376678497788</c:v>
                </c:pt>
                <c:pt idx="109">
                  <c:v>1.3891494878731E-2</c:v>
                </c:pt>
                <c:pt idx="110">
                  <c:v>0.24337810539202401</c:v>
                </c:pt>
                <c:pt idx="111">
                  <c:v>-4.1913792079053103E-2</c:v>
                </c:pt>
                <c:pt idx="112">
                  <c:v>-4.5690427628901596E-3</c:v>
                </c:pt>
                <c:pt idx="113">
                  <c:v>0.175261777372375</c:v>
                </c:pt>
                <c:pt idx="114">
                  <c:v>0.19675684039531699</c:v>
                </c:pt>
                <c:pt idx="115">
                  <c:v>0.117535670063802</c:v>
                </c:pt>
                <c:pt idx="116">
                  <c:v>6.8045682357204207E-2</c:v>
                </c:pt>
                <c:pt idx="117">
                  <c:v>-0.347791554529152</c:v>
                </c:pt>
                <c:pt idx="118">
                  <c:v>-3.0240854008210898E-2</c:v>
                </c:pt>
                <c:pt idx="119">
                  <c:v>-0.22760069965474999</c:v>
                </c:pt>
                <c:pt idx="120">
                  <c:v>0.15736425857524899</c:v>
                </c:pt>
                <c:pt idx="121">
                  <c:v>7.4312005416095103E-2</c:v>
                </c:pt>
                <c:pt idx="122">
                  <c:v>0.12196846203610601</c:v>
                </c:pt>
                <c:pt idx="123">
                  <c:v>5.7473535991830402E-2</c:v>
                </c:pt>
                <c:pt idx="124">
                  <c:v>-7.3291477146786299E-2</c:v>
                </c:pt>
                <c:pt idx="125">
                  <c:v>0.16909148482311501</c:v>
                </c:pt>
                <c:pt idx="126">
                  <c:v>5.7005765662849803E-2</c:v>
                </c:pt>
                <c:pt idx="127">
                  <c:v>5.9914912772645899E-2</c:v>
                </c:pt>
                <c:pt idx="128">
                  <c:v>0.162203065931498</c:v>
                </c:pt>
                <c:pt idx="129">
                  <c:v>9.8809216294604596E-2</c:v>
                </c:pt>
                <c:pt idx="130">
                  <c:v>-0.11178849847021199</c:v>
                </c:pt>
                <c:pt idx="131">
                  <c:v>0.16624746581894501</c:v>
                </c:pt>
                <c:pt idx="132">
                  <c:v>-0.21616392781650801</c:v>
                </c:pt>
                <c:pt idx="133">
                  <c:v>-0.118831782431346</c:v>
                </c:pt>
                <c:pt idx="134">
                  <c:v>-5.2407276607554301E-2</c:v>
                </c:pt>
                <c:pt idx="135">
                  <c:v>7.5974246575373897E-2</c:v>
                </c:pt>
                <c:pt idx="136">
                  <c:v>0.17075791581283301</c:v>
                </c:pt>
                <c:pt idx="137">
                  <c:v>-0.10542047534240601</c:v>
                </c:pt>
                <c:pt idx="138">
                  <c:v>7.0547644980819293E-2</c:v>
                </c:pt>
                <c:pt idx="139">
                  <c:v>0.191531116505814</c:v>
                </c:pt>
                <c:pt idx="140">
                  <c:v>2.4993420094451001E-2</c:v>
                </c:pt>
                <c:pt idx="141">
                  <c:v>-0.114640065671149</c:v>
                </c:pt>
                <c:pt idx="142">
                  <c:v>0.20518332447972501</c:v>
                </c:pt>
                <c:pt idx="143">
                  <c:v>0.16582455995190601</c:v>
                </c:pt>
                <c:pt idx="144">
                  <c:v>9.9372378044838797E-2</c:v>
                </c:pt>
                <c:pt idx="145">
                  <c:v>-2.4625801035325499E-2</c:v>
                </c:pt>
                <c:pt idx="146">
                  <c:v>0.107835510744104</c:v>
                </c:pt>
                <c:pt idx="147">
                  <c:v>0.10555371505510699</c:v>
                </c:pt>
                <c:pt idx="148">
                  <c:v>-2.74572033299041E-2</c:v>
                </c:pt>
                <c:pt idx="149">
                  <c:v>7.8553225442344193E-2</c:v>
                </c:pt>
                <c:pt idx="150">
                  <c:v>0.21253256730733999</c:v>
                </c:pt>
                <c:pt idx="151">
                  <c:v>-8.3028134685800802E-3</c:v>
                </c:pt>
                <c:pt idx="152">
                  <c:v>-3.5206326987559301E-2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5-EA4B-A6B1-8B9A83A52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485776"/>
        <c:axId val="1698488048"/>
      </c:scatterChart>
      <c:valAx>
        <c:axId val="169848577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同城分店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488048"/>
        <c:crosses val="autoZero"/>
        <c:crossBetween val="midCat"/>
      </c:valAx>
      <c:valAx>
        <c:axId val="169848804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48577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黑珍珠收录次数 </a:t>
            </a:r>
            <a:r>
              <a:rPr lang="en-US" altLang="zh-CN"/>
              <a:t>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Sheet3!$O$2:$O$154</c:f>
              <c:numCache>
                <c:formatCode>General</c:formatCode>
                <c:ptCount val="153"/>
              </c:numCache>
            </c:numRef>
          </c:xVal>
          <c:yVal>
            <c:numRef>
              <c:f>Sheet3!$C$30:$C$182</c:f>
              <c:numCache>
                <c:formatCode>General</c:formatCode>
                <c:ptCount val="153"/>
                <c:pt idx="0">
                  <c:v>-0.19256614157518501</c:v>
                </c:pt>
                <c:pt idx="1">
                  <c:v>1.19551392621489E-2</c:v>
                </c:pt>
                <c:pt idx="2">
                  <c:v>9.27470937061496E-2</c:v>
                </c:pt>
                <c:pt idx="3">
                  <c:v>3.10321102151025E-2</c:v>
                </c:pt>
                <c:pt idx="4">
                  <c:v>-0.159711168945294</c:v>
                </c:pt>
                <c:pt idx="5">
                  <c:v>0.15323981850190399</c:v>
                </c:pt>
                <c:pt idx="6">
                  <c:v>-5.7236788936183601E-3</c:v>
                </c:pt>
                <c:pt idx="7">
                  <c:v>1.9204890442818399E-2</c:v>
                </c:pt>
                <c:pt idx="8">
                  <c:v>0.39074654544166798</c:v>
                </c:pt>
                <c:pt idx="9">
                  <c:v>-0.14581488777723201</c:v>
                </c:pt>
                <c:pt idx="10">
                  <c:v>-2.2714550139796501E-2</c:v>
                </c:pt>
                <c:pt idx="11">
                  <c:v>-0.16571348630367599</c:v>
                </c:pt>
                <c:pt idx="12">
                  <c:v>4.0870200969236797E-2</c:v>
                </c:pt>
                <c:pt idx="13">
                  <c:v>-7.6808061937293295E-2</c:v>
                </c:pt>
                <c:pt idx="14">
                  <c:v>0.12836568438041901</c:v>
                </c:pt>
                <c:pt idx="15">
                  <c:v>-0.31714501570085601</c:v>
                </c:pt>
                <c:pt idx="16">
                  <c:v>6.8200256982542007E-2</c:v>
                </c:pt>
                <c:pt idx="17">
                  <c:v>5.3088090181968403E-2</c:v>
                </c:pt>
                <c:pt idx="18">
                  <c:v>-0.164729958454475</c:v>
                </c:pt>
                <c:pt idx="19">
                  <c:v>-0.40821810924817098</c:v>
                </c:pt>
                <c:pt idx="20">
                  <c:v>-0.23609857659139799</c:v>
                </c:pt>
                <c:pt idx="21">
                  <c:v>-9.3220540516541398E-2</c:v>
                </c:pt>
                <c:pt idx="22">
                  <c:v>0.17275311552914499</c:v>
                </c:pt>
                <c:pt idx="23">
                  <c:v>0.11055779445922601</c:v>
                </c:pt>
                <c:pt idx="24">
                  <c:v>-0.31103475113221102</c:v>
                </c:pt>
                <c:pt idx="25">
                  <c:v>-0.22782350126241199</c:v>
                </c:pt>
                <c:pt idx="26">
                  <c:v>8.3382355181324599E-2</c:v>
                </c:pt>
                <c:pt idx="27">
                  <c:v>-0.10812460423028</c:v>
                </c:pt>
                <c:pt idx="28">
                  <c:v>-0.271052677981174</c:v>
                </c:pt>
                <c:pt idx="29">
                  <c:v>-0.179141600765162</c:v>
                </c:pt>
                <c:pt idx="30">
                  <c:v>-0.16008034839763399</c:v>
                </c:pt>
                <c:pt idx="31">
                  <c:v>-0.12149455679334099</c:v>
                </c:pt>
                <c:pt idx="32">
                  <c:v>0.14173977584269301</c:v>
                </c:pt>
                <c:pt idx="33">
                  <c:v>0.19255132860534399</c:v>
                </c:pt>
                <c:pt idx="34">
                  <c:v>5.6584688029835697E-2</c:v>
                </c:pt>
                <c:pt idx="35">
                  <c:v>-8.2428952650424506E-2</c:v>
                </c:pt>
                <c:pt idx="36">
                  <c:v>-0.182659070255448</c:v>
                </c:pt>
                <c:pt idx="37">
                  <c:v>-0.46624192447754798</c:v>
                </c:pt>
                <c:pt idx="38">
                  <c:v>0.32051484596757401</c:v>
                </c:pt>
                <c:pt idx="39">
                  <c:v>-0.48507180443721198</c:v>
                </c:pt>
                <c:pt idx="40">
                  <c:v>3.7556944516420998E-2</c:v>
                </c:pt>
                <c:pt idx="41">
                  <c:v>-4.5386560041323201E-2</c:v>
                </c:pt>
                <c:pt idx="42">
                  <c:v>-6.9535118800605894E-2</c:v>
                </c:pt>
                <c:pt idx="43">
                  <c:v>-7.6161008130611704E-2</c:v>
                </c:pt>
                <c:pt idx="44">
                  <c:v>8.2047880308301999E-2</c:v>
                </c:pt>
                <c:pt idx="45">
                  <c:v>0.20808860210278801</c:v>
                </c:pt>
                <c:pt idx="46">
                  <c:v>0.31616452790859501</c:v>
                </c:pt>
                <c:pt idx="47">
                  <c:v>0.155511780671823</c:v>
                </c:pt>
                <c:pt idx="48">
                  <c:v>0.180588664015019</c:v>
                </c:pt>
                <c:pt idx="49">
                  <c:v>-0.19715719810042501</c:v>
                </c:pt>
                <c:pt idx="50">
                  <c:v>2.50491497597078E-2</c:v>
                </c:pt>
                <c:pt idx="51">
                  <c:v>-0.11804733346339299</c:v>
                </c:pt>
                <c:pt idx="52">
                  <c:v>9.1343836120914901E-2</c:v>
                </c:pt>
                <c:pt idx="53">
                  <c:v>2.6100785507274802E-3</c:v>
                </c:pt>
                <c:pt idx="54">
                  <c:v>1.83307288748908E-2</c:v>
                </c:pt>
                <c:pt idx="55">
                  <c:v>-0.48336173621949502</c:v>
                </c:pt>
                <c:pt idx="56">
                  <c:v>0.16598025202715</c:v>
                </c:pt>
                <c:pt idx="57">
                  <c:v>0.149213530354639</c:v>
                </c:pt>
                <c:pt idx="58">
                  <c:v>-3.57728508151922E-2</c:v>
                </c:pt>
                <c:pt idx="59">
                  <c:v>-4.2787725739676E-2</c:v>
                </c:pt>
                <c:pt idx="60">
                  <c:v>-0.21788302070674101</c:v>
                </c:pt>
                <c:pt idx="61">
                  <c:v>0.19203118234536501</c:v>
                </c:pt>
                <c:pt idx="62">
                  <c:v>-5.8058920115235502E-2</c:v>
                </c:pt>
                <c:pt idx="63">
                  <c:v>-0.118357934473607</c:v>
                </c:pt>
                <c:pt idx="64">
                  <c:v>0.18451278024756501</c:v>
                </c:pt>
                <c:pt idx="65">
                  <c:v>0.112163684031458</c:v>
                </c:pt>
                <c:pt idx="66">
                  <c:v>0.25133737215868202</c:v>
                </c:pt>
                <c:pt idx="67">
                  <c:v>0.18007998069714501</c:v>
                </c:pt>
                <c:pt idx="68">
                  <c:v>0.21935084244177</c:v>
                </c:pt>
                <c:pt idx="69">
                  <c:v>0.14766681207594001</c:v>
                </c:pt>
                <c:pt idx="70">
                  <c:v>0.12907830111218099</c:v>
                </c:pt>
                <c:pt idx="71">
                  <c:v>-0.26094917004679302</c:v>
                </c:pt>
                <c:pt idx="72">
                  <c:v>0.190288394613886</c:v>
                </c:pt>
                <c:pt idx="73">
                  <c:v>-0.36342968936474901</c:v>
                </c:pt>
                <c:pt idx="74">
                  <c:v>-0.109637437536223</c:v>
                </c:pt>
                <c:pt idx="75">
                  <c:v>6.9258012087744597E-2</c:v>
                </c:pt>
                <c:pt idx="76">
                  <c:v>6.4405933208380603E-2</c:v>
                </c:pt>
                <c:pt idx="77">
                  <c:v>-0.23095071810463699</c:v>
                </c:pt>
                <c:pt idx="78">
                  <c:v>-0.130537076074521</c:v>
                </c:pt>
                <c:pt idx="79">
                  <c:v>-0.211444728104699</c:v>
                </c:pt>
                <c:pt idx="80">
                  <c:v>0.19686806278448499</c:v>
                </c:pt>
                <c:pt idx="81">
                  <c:v>7.20857987042587E-2</c:v>
                </c:pt>
                <c:pt idx="82">
                  <c:v>-8.8346216449597403E-4</c:v>
                </c:pt>
                <c:pt idx="83">
                  <c:v>7.3115772155984096E-2</c:v>
                </c:pt>
                <c:pt idx="84">
                  <c:v>-1.24963724399771E-2</c:v>
                </c:pt>
                <c:pt idx="85">
                  <c:v>0.29358520070743599</c:v>
                </c:pt>
                <c:pt idx="86">
                  <c:v>-8.8534359767208096E-2</c:v>
                </c:pt>
                <c:pt idx="87">
                  <c:v>1.02323570772205E-2</c:v>
                </c:pt>
                <c:pt idx="88">
                  <c:v>-0.118044853528225</c:v>
                </c:pt>
                <c:pt idx="89">
                  <c:v>-0.13041728504334399</c:v>
                </c:pt>
                <c:pt idx="90">
                  <c:v>-2.2351164997606299E-2</c:v>
                </c:pt>
                <c:pt idx="91">
                  <c:v>0.21604072573133101</c:v>
                </c:pt>
                <c:pt idx="92">
                  <c:v>0.219364239024399</c:v>
                </c:pt>
                <c:pt idx="93">
                  <c:v>0.14728593530370299</c:v>
                </c:pt>
                <c:pt idx="94">
                  <c:v>-9.7713853138779797E-2</c:v>
                </c:pt>
                <c:pt idx="95">
                  <c:v>0.22188505758068899</c:v>
                </c:pt>
                <c:pt idx="96">
                  <c:v>-8.3678339558668199E-2</c:v>
                </c:pt>
                <c:pt idx="97">
                  <c:v>5.0241935075652201E-2</c:v>
                </c:pt>
                <c:pt idx="98">
                  <c:v>0.20197656050629401</c:v>
                </c:pt>
                <c:pt idx="99">
                  <c:v>-1.82555278675611E-2</c:v>
                </c:pt>
                <c:pt idx="100">
                  <c:v>-0.215195314438859</c:v>
                </c:pt>
                <c:pt idx="101">
                  <c:v>-0.13777456661298201</c:v>
                </c:pt>
                <c:pt idx="102">
                  <c:v>0.100531205918064</c:v>
                </c:pt>
                <c:pt idx="103">
                  <c:v>-0.28147390315881599</c:v>
                </c:pt>
                <c:pt idx="104">
                  <c:v>3.4975111029568899E-2</c:v>
                </c:pt>
                <c:pt idx="105">
                  <c:v>-4.7741942930549001E-2</c:v>
                </c:pt>
                <c:pt idx="106">
                  <c:v>-8.9836636847549806E-2</c:v>
                </c:pt>
                <c:pt idx="107">
                  <c:v>2.78017123313417E-2</c:v>
                </c:pt>
                <c:pt idx="108">
                  <c:v>-0.316376678497788</c:v>
                </c:pt>
                <c:pt idx="109">
                  <c:v>1.3891494878731E-2</c:v>
                </c:pt>
                <c:pt idx="110">
                  <c:v>0.24337810539202401</c:v>
                </c:pt>
                <c:pt idx="111">
                  <c:v>-4.1913792079053103E-2</c:v>
                </c:pt>
                <c:pt idx="112">
                  <c:v>-4.5690427628901596E-3</c:v>
                </c:pt>
                <c:pt idx="113">
                  <c:v>0.175261777372375</c:v>
                </c:pt>
                <c:pt idx="114">
                  <c:v>0.19675684039531699</c:v>
                </c:pt>
                <c:pt idx="115">
                  <c:v>0.117535670063802</c:v>
                </c:pt>
                <c:pt idx="116">
                  <c:v>6.8045682357204207E-2</c:v>
                </c:pt>
                <c:pt idx="117">
                  <c:v>-0.347791554529152</c:v>
                </c:pt>
                <c:pt idx="118">
                  <c:v>-3.0240854008210898E-2</c:v>
                </c:pt>
                <c:pt idx="119">
                  <c:v>-0.22760069965474999</c:v>
                </c:pt>
                <c:pt idx="120">
                  <c:v>0.15736425857524899</c:v>
                </c:pt>
                <c:pt idx="121">
                  <c:v>7.4312005416095103E-2</c:v>
                </c:pt>
                <c:pt idx="122">
                  <c:v>0.12196846203610601</c:v>
                </c:pt>
                <c:pt idx="123">
                  <c:v>5.7473535991830402E-2</c:v>
                </c:pt>
                <c:pt idx="124">
                  <c:v>-7.3291477146786299E-2</c:v>
                </c:pt>
                <c:pt idx="125">
                  <c:v>0.16909148482311501</c:v>
                </c:pt>
                <c:pt idx="126">
                  <c:v>5.7005765662849803E-2</c:v>
                </c:pt>
                <c:pt idx="127">
                  <c:v>5.9914912772645899E-2</c:v>
                </c:pt>
                <c:pt idx="128">
                  <c:v>0.162203065931498</c:v>
                </c:pt>
                <c:pt idx="129">
                  <c:v>9.8809216294604596E-2</c:v>
                </c:pt>
                <c:pt idx="130">
                  <c:v>-0.11178849847021199</c:v>
                </c:pt>
                <c:pt idx="131">
                  <c:v>0.16624746581894501</c:v>
                </c:pt>
                <c:pt idx="132">
                  <c:v>-0.21616392781650801</c:v>
                </c:pt>
                <c:pt idx="133">
                  <c:v>-0.118831782431346</c:v>
                </c:pt>
                <c:pt idx="134">
                  <c:v>-5.2407276607554301E-2</c:v>
                </c:pt>
                <c:pt idx="135">
                  <c:v>7.5974246575373897E-2</c:v>
                </c:pt>
                <c:pt idx="136">
                  <c:v>0.17075791581283301</c:v>
                </c:pt>
                <c:pt idx="137">
                  <c:v>-0.10542047534240601</c:v>
                </c:pt>
                <c:pt idx="138">
                  <c:v>7.0547644980819293E-2</c:v>
                </c:pt>
                <c:pt idx="139">
                  <c:v>0.191531116505814</c:v>
                </c:pt>
                <c:pt idx="140">
                  <c:v>2.4993420094451001E-2</c:v>
                </c:pt>
                <c:pt idx="141">
                  <c:v>-0.114640065671149</c:v>
                </c:pt>
                <c:pt idx="142">
                  <c:v>0.20518332447972501</c:v>
                </c:pt>
                <c:pt idx="143">
                  <c:v>0.16582455995190601</c:v>
                </c:pt>
                <c:pt idx="144">
                  <c:v>9.9372378044838797E-2</c:v>
                </c:pt>
                <c:pt idx="145">
                  <c:v>-2.4625801035325499E-2</c:v>
                </c:pt>
                <c:pt idx="146">
                  <c:v>0.107835510744104</c:v>
                </c:pt>
                <c:pt idx="147">
                  <c:v>0.10555371505510699</c:v>
                </c:pt>
                <c:pt idx="148">
                  <c:v>-2.74572033299041E-2</c:v>
                </c:pt>
                <c:pt idx="149">
                  <c:v>7.8553225442344193E-2</c:v>
                </c:pt>
                <c:pt idx="150">
                  <c:v>0.21253256730733999</c:v>
                </c:pt>
                <c:pt idx="151">
                  <c:v>-8.3028134685800802E-3</c:v>
                </c:pt>
                <c:pt idx="152">
                  <c:v>-3.5206326987559301E-2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7C-7B49-8248-26972F3BC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506288"/>
        <c:axId val="1698508016"/>
      </c:scatterChart>
      <c:valAx>
        <c:axId val="16985062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黑珍珠收录次数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508016"/>
        <c:crosses val="autoZero"/>
        <c:crossBetween val="midCat"/>
      </c:valAx>
      <c:valAx>
        <c:axId val="169850801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5062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人均价格</a:t>
            </a:r>
            <a:r>
              <a:rPr lang="en-US" altLang="zh-CN"/>
              <a:t>/¥ Average price per person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Sheet3!$P$2:$P$154</c:f>
              <c:numCache>
                <c:formatCode>General</c:formatCode>
                <c:ptCount val="153"/>
              </c:numCache>
            </c:numRef>
          </c:xVal>
          <c:yVal>
            <c:numRef>
              <c:f>Sheet3!$C$30:$C$182</c:f>
              <c:numCache>
                <c:formatCode>General</c:formatCode>
                <c:ptCount val="153"/>
                <c:pt idx="0">
                  <c:v>-0.19256614157518501</c:v>
                </c:pt>
                <c:pt idx="1">
                  <c:v>1.19551392621489E-2</c:v>
                </c:pt>
                <c:pt idx="2">
                  <c:v>9.27470937061496E-2</c:v>
                </c:pt>
                <c:pt idx="3">
                  <c:v>3.10321102151025E-2</c:v>
                </c:pt>
                <c:pt idx="4">
                  <c:v>-0.159711168945294</c:v>
                </c:pt>
                <c:pt idx="5">
                  <c:v>0.15323981850190399</c:v>
                </c:pt>
                <c:pt idx="6">
                  <c:v>-5.7236788936183601E-3</c:v>
                </c:pt>
                <c:pt idx="7">
                  <c:v>1.9204890442818399E-2</c:v>
                </c:pt>
                <c:pt idx="8">
                  <c:v>0.39074654544166798</c:v>
                </c:pt>
                <c:pt idx="9">
                  <c:v>-0.14581488777723201</c:v>
                </c:pt>
                <c:pt idx="10">
                  <c:v>-2.2714550139796501E-2</c:v>
                </c:pt>
                <c:pt idx="11">
                  <c:v>-0.16571348630367599</c:v>
                </c:pt>
                <c:pt idx="12">
                  <c:v>4.0870200969236797E-2</c:v>
                </c:pt>
                <c:pt idx="13">
                  <c:v>-7.6808061937293295E-2</c:v>
                </c:pt>
                <c:pt idx="14">
                  <c:v>0.12836568438041901</c:v>
                </c:pt>
                <c:pt idx="15">
                  <c:v>-0.31714501570085601</c:v>
                </c:pt>
                <c:pt idx="16">
                  <c:v>6.8200256982542007E-2</c:v>
                </c:pt>
                <c:pt idx="17">
                  <c:v>5.3088090181968403E-2</c:v>
                </c:pt>
                <c:pt idx="18">
                  <c:v>-0.164729958454475</c:v>
                </c:pt>
                <c:pt idx="19">
                  <c:v>-0.40821810924817098</c:v>
                </c:pt>
                <c:pt idx="20">
                  <c:v>-0.23609857659139799</c:v>
                </c:pt>
                <c:pt idx="21">
                  <c:v>-9.3220540516541398E-2</c:v>
                </c:pt>
                <c:pt idx="22">
                  <c:v>0.17275311552914499</c:v>
                </c:pt>
                <c:pt idx="23">
                  <c:v>0.11055779445922601</c:v>
                </c:pt>
                <c:pt idx="24">
                  <c:v>-0.31103475113221102</c:v>
                </c:pt>
                <c:pt idx="25">
                  <c:v>-0.22782350126241199</c:v>
                </c:pt>
                <c:pt idx="26">
                  <c:v>8.3382355181324599E-2</c:v>
                </c:pt>
                <c:pt idx="27">
                  <c:v>-0.10812460423028</c:v>
                </c:pt>
                <c:pt idx="28">
                  <c:v>-0.271052677981174</c:v>
                </c:pt>
                <c:pt idx="29">
                  <c:v>-0.179141600765162</c:v>
                </c:pt>
                <c:pt idx="30">
                  <c:v>-0.16008034839763399</c:v>
                </c:pt>
                <c:pt idx="31">
                  <c:v>-0.12149455679334099</c:v>
                </c:pt>
                <c:pt idx="32">
                  <c:v>0.14173977584269301</c:v>
                </c:pt>
                <c:pt idx="33">
                  <c:v>0.19255132860534399</c:v>
                </c:pt>
                <c:pt idx="34">
                  <c:v>5.6584688029835697E-2</c:v>
                </c:pt>
                <c:pt idx="35">
                  <c:v>-8.2428952650424506E-2</c:v>
                </c:pt>
                <c:pt idx="36">
                  <c:v>-0.182659070255448</c:v>
                </c:pt>
                <c:pt idx="37">
                  <c:v>-0.46624192447754798</c:v>
                </c:pt>
                <c:pt idx="38">
                  <c:v>0.32051484596757401</c:v>
                </c:pt>
                <c:pt idx="39">
                  <c:v>-0.48507180443721198</c:v>
                </c:pt>
                <c:pt idx="40">
                  <c:v>3.7556944516420998E-2</c:v>
                </c:pt>
                <c:pt idx="41">
                  <c:v>-4.5386560041323201E-2</c:v>
                </c:pt>
                <c:pt idx="42">
                  <c:v>-6.9535118800605894E-2</c:v>
                </c:pt>
                <c:pt idx="43">
                  <c:v>-7.6161008130611704E-2</c:v>
                </c:pt>
                <c:pt idx="44">
                  <c:v>8.2047880308301999E-2</c:v>
                </c:pt>
                <c:pt idx="45">
                  <c:v>0.20808860210278801</c:v>
                </c:pt>
                <c:pt idx="46">
                  <c:v>0.31616452790859501</c:v>
                </c:pt>
                <c:pt idx="47">
                  <c:v>0.155511780671823</c:v>
                </c:pt>
                <c:pt idx="48">
                  <c:v>0.180588664015019</c:v>
                </c:pt>
                <c:pt idx="49">
                  <c:v>-0.19715719810042501</c:v>
                </c:pt>
                <c:pt idx="50">
                  <c:v>2.50491497597078E-2</c:v>
                </c:pt>
                <c:pt idx="51">
                  <c:v>-0.11804733346339299</c:v>
                </c:pt>
                <c:pt idx="52">
                  <c:v>9.1343836120914901E-2</c:v>
                </c:pt>
                <c:pt idx="53">
                  <c:v>2.6100785507274802E-3</c:v>
                </c:pt>
                <c:pt idx="54">
                  <c:v>1.83307288748908E-2</c:v>
                </c:pt>
                <c:pt idx="55">
                  <c:v>-0.48336173621949502</c:v>
                </c:pt>
                <c:pt idx="56">
                  <c:v>0.16598025202715</c:v>
                </c:pt>
                <c:pt idx="57">
                  <c:v>0.149213530354639</c:v>
                </c:pt>
                <c:pt idx="58">
                  <c:v>-3.57728508151922E-2</c:v>
                </c:pt>
                <c:pt idx="59">
                  <c:v>-4.2787725739676E-2</c:v>
                </c:pt>
                <c:pt idx="60">
                  <c:v>-0.21788302070674101</c:v>
                </c:pt>
                <c:pt idx="61">
                  <c:v>0.19203118234536501</c:v>
                </c:pt>
                <c:pt idx="62">
                  <c:v>-5.8058920115235502E-2</c:v>
                </c:pt>
                <c:pt idx="63">
                  <c:v>-0.118357934473607</c:v>
                </c:pt>
                <c:pt idx="64">
                  <c:v>0.18451278024756501</c:v>
                </c:pt>
                <c:pt idx="65">
                  <c:v>0.112163684031458</c:v>
                </c:pt>
                <c:pt idx="66">
                  <c:v>0.25133737215868202</c:v>
                </c:pt>
                <c:pt idx="67">
                  <c:v>0.18007998069714501</c:v>
                </c:pt>
                <c:pt idx="68">
                  <c:v>0.21935084244177</c:v>
                </c:pt>
                <c:pt idx="69">
                  <c:v>0.14766681207594001</c:v>
                </c:pt>
                <c:pt idx="70">
                  <c:v>0.12907830111218099</c:v>
                </c:pt>
                <c:pt idx="71">
                  <c:v>-0.26094917004679302</c:v>
                </c:pt>
                <c:pt idx="72">
                  <c:v>0.190288394613886</c:v>
                </c:pt>
                <c:pt idx="73">
                  <c:v>-0.36342968936474901</c:v>
                </c:pt>
                <c:pt idx="74">
                  <c:v>-0.109637437536223</c:v>
                </c:pt>
                <c:pt idx="75">
                  <c:v>6.9258012087744597E-2</c:v>
                </c:pt>
                <c:pt idx="76">
                  <c:v>6.4405933208380603E-2</c:v>
                </c:pt>
                <c:pt idx="77">
                  <c:v>-0.23095071810463699</c:v>
                </c:pt>
                <c:pt idx="78">
                  <c:v>-0.130537076074521</c:v>
                </c:pt>
                <c:pt idx="79">
                  <c:v>-0.211444728104699</c:v>
                </c:pt>
                <c:pt idx="80">
                  <c:v>0.19686806278448499</c:v>
                </c:pt>
                <c:pt idx="81">
                  <c:v>7.20857987042587E-2</c:v>
                </c:pt>
                <c:pt idx="82">
                  <c:v>-8.8346216449597403E-4</c:v>
                </c:pt>
                <c:pt idx="83">
                  <c:v>7.3115772155984096E-2</c:v>
                </c:pt>
                <c:pt idx="84">
                  <c:v>-1.24963724399771E-2</c:v>
                </c:pt>
                <c:pt idx="85">
                  <c:v>0.29358520070743599</c:v>
                </c:pt>
                <c:pt idx="86">
                  <c:v>-8.8534359767208096E-2</c:v>
                </c:pt>
                <c:pt idx="87">
                  <c:v>1.02323570772205E-2</c:v>
                </c:pt>
                <c:pt idx="88">
                  <c:v>-0.118044853528225</c:v>
                </c:pt>
                <c:pt idx="89">
                  <c:v>-0.13041728504334399</c:v>
                </c:pt>
                <c:pt idx="90">
                  <c:v>-2.2351164997606299E-2</c:v>
                </c:pt>
                <c:pt idx="91">
                  <c:v>0.21604072573133101</c:v>
                </c:pt>
                <c:pt idx="92">
                  <c:v>0.219364239024399</c:v>
                </c:pt>
                <c:pt idx="93">
                  <c:v>0.14728593530370299</c:v>
                </c:pt>
                <c:pt idx="94">
                  <c:v>-9.7713853138779797E-2</c:v>
                </c:pt>
                <c:pt idx="95">
                  <c:v>0.22188505758068899</c:v>
                </c:pt>
                <c:pt idx="96">
                  <c:v>-8.3678339558668199E-2</c:v>
                </c:pt>
                <c:pt idx="97">
                  <c:v>5.0241935075652201E-2</c:v>
                </c:pt>
                <c:pt idx="98">
                  <c:v>0.20197656050629401</c:v>
                </c:pt>
                <c:pt idx="99">
                  <c:v>-1.82555278675611E-2</c:v>
                </c:pt>
                <c:pt idx="100">
                  <c:v>-0.215195314438859</c:v>
                </c:pt>
                <c:pt idx="101">
                  <c:v>-0.13777456661298201</c:v>
                </c:pt>
                <c:pt idx="102">
                  <c:v>0.100531205918064</c:v>
                </c:pt>
                <c:pt idx="103">
                  <c:v>-0.28147390315881599</c:v>
                </c:pt>
                <c:pt idx="104">
                  <c:v>3.4975111029568899E-2</c:v>
                </c:pt>
                <c:pt idx="105">
                  <c:v>-4.7741942930549001E-2</c:v>
                </c:pt>
                <c:pt idx="106">
                  <c:v>-8.9836636847549806E-2</c:v>
                </c:pt>
                <c:pt idx="107">
                  <c:v>2.78017123313417E-2</c:v>
                </c:pt>
                <c:pt idx="108">
                  <c:v>-0.316376678497788</c:v>
                </c:pt>
                <c:pt idx="109">
                  <c:v>1.3891494878731E-2</c:v>
                </c:pt>
                <c:pt idx="110">
                  <c:v>0.24337810539202401</c:v>
                </c:pt>
                <c:pt idx="111">
                  <c:v>-4.1913792079053103E-2</c:v>
                </c:pt>
                <c:pt idx="112">
                  <c:v>-4.5690427628901596E-3</c:v>
                </c:pt>
                <c:pt idx="113">
                  <c:v>0.175261777372375</c:v>
                </c:pt>
                <c:pt idx="114">
                  <c:v>0.19675684039531699</c:v>
                </c:pt>
                <c:pt idx="115">
                  <c:v>0.117535670063802</c:v>
                </c:pt>
                <c:pt idx="116">
                  <c:v>6.8045682357204207E-2</c:v>
                </c:pt>
                <c:pt idx="117">
                  <c:v>-0.347791554529152</c:v>
                </c:pt>
                <c:pt idx="118">
                  <c:v>-3.0240854008210898E-2</c:v>
                </c:pt>
                <c:pt idx="119">
                  <c:v>-0.22760069965474999</c:v>
                </c:pt>
                <c:pt idx="120">
                  <c:v>0.15736425857524899</c:v>
                </c:pt>
                <c:pt idx="121">
                  <c:v>7.4312005416095103E-2</c:v>
                </c:pt>
                <c:pt idx="122">
                  <c:v>0.12196846203610601</c:v>
                </c:pt>
                <c:pt idx="123">
                  <c:v>5.7473535991830402E-2</c:v>
                </c:pt>
                <c:pt idx="124">
                  <c:v>-7.3291477146786299E-2</c:v>
                </c:pt>
                <c:pt idx="125">
                  <c:v>0.16909148482311501</c:v>
                </c:pt>
                <c:pt idx="126">
                  <c:v>5.7005765662849803E-2</c:v>
                </c:pt>
                <c:pt idx="127">
                  <c:v>5.9914912772645899E-2</c:v>
                </c:pt>
                <c:pt idx="128">
                  <c:v>0.162203065931498</c:v>
                </c:pt>
                <c:pt idx="129">
                  <c:v>9.8809216294604596E-2</c:v>
                </c:pt>
                <c:pt idx="130">
                  <c:v>-0.11178849847021199</c:v>
                </c:pt>
                <c:pt idx="131">
                  <c:v>0.16624746581894501</c:v>
                </c:pt>
                <c:pt idx="132">
                  <c:v>-0.21616392781650801</c:v>
                </c:pt>
                <c:pt idx="133">
                  <c:v>-0.118831782431346</c:v>
                </c:pt>
                <c:pt idx="134">
                  <c:v>-5.2407276607554301E-2</c:v>
                </c:pt>
                <c:pt idx="135">
                  <c:v>7.5974246575373897E-2</c:v>
                </c:pt>
                <c:pt idx="136">
                  <c:v>0.17075791581283301</c:v>
                </c:pt>
                <c:pt idx="137">
                  <c:v>-0.10542047534240601</c:v>
                </c:pt>
                <c:pt idx="138">
                  <c:v>7.0547644980819293E-2</c:v>
                </c:pt>
                <c:pt idx="139">
                  <c:v>0.191531116505814</c:v>
                </c:pt>
                <c:pt idx="140">
                  <c:v>2.4993420094451001E-2</c:v>
                </c:pt>
                <c:pt idx="141">
                  <c:v>-0.114640065671149</c:v>
                </c:pt>
                <c:pt idx="142">
                  <c:v>0.20518332447972501</c:v>
                </c:pt>
                <c:pt idx="143">
                  <c:v>0.16582455995190601</c:v>
                </c:pt>
                <c:pt idx="144">
                  <c:v>9.9372378044838797E-2</c:v>
                </c:pt>
                <c:pt idx="145">
                  <c:v>-2.4625801035325499E-2</c:v>
                </c:pt>
                <c:pt idx="146">
                  <c:v>0.107835510744104</c:v>
                </c:pt>
                <c:pt idx="147">
                  <c:v>0.10555371505510699</c:v>
                </c:pt>
                <c:pt idx="148">
                  <c:v>-2.74572033299041E-2</c:v>
                </c:pt>
                <c:pt idx="149">
                  <c:v>7.8553225442344193E-2</c:v>
                </c:pt>
                <c:pt idx="150">
                  <c:v>0.21253256730733999</c:v>
                </c:pt>
                <c:pt idx="151">
                  <c:v>-8.3028134685800802E-3</c:v>
                </c:pt>
                <c:pt idx="152">
                  <c:v>-3.5206326987559301E-2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43-A847-9ECF-E19DAD9FD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007008"/>
        <c:axId val="1754008736"/>
      </c:scatterChart>
      <c:valAx>
        <c:axId val="1754007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人均价格</a:t>
                </a:r>
                <a:r>
                  <a:rPr lang="en-US" altLang="zh-CN"/>
                  <a:t>/¥ Average price per person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4008736"/>
        <c:crosses val="autoZero"/>
        <c:crossBetween val="midCat"/>
      </c:valAx>
      <c:valAx>
        <c:axId val="175400873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400700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评价量 </a:t>
            </a:r>
            <a:r>
              <a:rPr lang="en-US" altLang="zh-CN"/>
              <a:t># of evaluation 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Sheet1!$K$2:$K$154</c:f>
              <c:numCache>
                <c:formatCode>General</c:formatCode>
                <c:ptCount val="153"/>
                <c:pt idx="0">
                  <c:v>2426</c:v>
                </c:pt>
                <c:pt idx="1">
                  <c:v>819</c:v>
                </c:pt>
                <c:pt idx="2">
                  <c:v>2609</c:v>
                </c:pt>
                <c:pt idx="3">
                  <c:v>6628</c:v>
                </c:pt>
                <c:pt idx="4">
                  <c:v>4632</c:v>
                </c:pt>
                <c:pt idx="5">
                  <c:v>1723</c:v>
                </c:pt>
                <c:pt idx="6">
                  <c:v>3032</c:v>
                </c:pt>
                <c:pt idx="7">
                  <c:v>5100</c:v>
                </c:pt>
                <c:pt idx="8">
                  <c:v>1722</c:v>
                </c:pt>
                <c:pt idx="9">
                  <c:v>4719</c:v>
                </c:pt>
                <c:pt idx="10">
                  <c:v>4947</c:v>
                </c:pt>
                <c:pt idx="11">
                  <c:v>3666</c:v>
                </c:pt>
                <c:pt idx="12">
                  <c:v>3778</c:v>
                </c:pt>
                <c:pt idx="13">
                  <c:v>1327</c:v>
                </c:pt>
                <c:pt idx="14">
                  <c:v>1416</c:v>
                </c:pt>
                <c:pt idx="15">
                  <c:v>2429</c:v>
                </c:pt>
                <c:pt idx="16">
                  <c:v>1718</c:v>
                </c:pt>
                <c:pt idx="17">
                  <c:v>737</c:v>
                </c:pt>
                <c:pt idx="18">
                  <c:v>2708</c:v>
                </c:pt>
                <c:pt idx="19">
                  <c:v>5744</c:v>
                </c:pt>
                <c:pt idx="20">
                  <c:v>7406</c:v>
                </c:pt>
                <c:pt idx="21">
                  <c:v>426</c:v>
                </c:pt>
                <c:pt idx="22">
                  <c:v>1514</c:v>
                </c:pt>
                <c:pt idx="23">
                  <c:v>2308</c:v>
                </c:pt>
                <c:pt idx="24">
                  <c:v>911</c:v>
                </c:pt>
                <c:pt idx="25">
                  <c:v>2028</c:v>
                </c:pt>
                <c:pt idx="26">
                  <c:v>5644</c:v>
                </c:pt>
                <c:pt idx="27">
                  <c:v>2026</c:v>
                </c:pt>
                <c:pt idx="28">
                  <c:v>888</c:v>
                </c:pt>
                <c:pt idx="29">
                  <c:v>6092</c:v>
                </c:pt>
                <c:pt idx="30">
                  <c:v>3668</c:v>
                </c:pt>
                <c:pt idx="31">
                  <c:v>7447</c:v>
                </c:pt>
                <c:pt idx="32">
                  <c:v>12712</c:v>
                </c:pt>
                <c:pt idx="33">
                  <c:v>766</c:v>
                </c:pt>
                <c:pt idx="34">
                  <c:v>3099</c:v>
                </c:pt>
                <c:pt idx="35">
                  <c:v>15033</c:v>
                </c:pt>
                <c:pt idx="36">
                  <c:v>609</c:v>
                </c:pt>
                <c:pt idx="37">
                  <c:v>374</c:v>
                </c:pt>
                <c:pt idx="38">
                  <c:v>6122</c:v>
                </c:pt>
                <c:pt idx="39">
                  <c:v>576</c:v>
                </c:pt>
                <c:pt idx="40">
                  <c:v>4128</c:v>
                </c:pt>
                <c:pt idx="41">
                  <c:v>1342</c:v>
                </c:pt>
                <c:pt idx="42">
                  <c:v>11471</c:v>
                </c:pt>
                <c:pt idx="43">
                  <c:v>5581</c:v>
                </c:pt>
                <c:pt idx="44">
                  <c:v>3441</c:v>
                </c:pt>
                <c:pt idx="45">
                  <c:v>2958</c:v>
                </c:pt>
                <c:pt idx="46">
                  <c:v>7586</c:v>
                </c:pt>
                <c:pt idx="47">
                  <c:v>1260</c:v>
                </c:pt>
                <c:pt idx="48">
                  <c:v>1437</c:v>
                </c:pt>
                <c:pt idx="49">
                  <c:v>2339</c:v>
                </c:pt>
                <c:pt idx="50">
                  <c:v>2208</c:v>
                </c:pt>
                <c:pt idx="51">
                  <c:v>632</c:v>
                </c:pt>
                <c:pt idx="52">
                  <c:v>14397</c:v>
                </c:pt>
                <c:pt idx="53">
                  <c:v>3145</c:v>
                </c:pt>
                <c:pt idx="54">
                  <c:v>11609</c:v>
                </c:pt>
                <c:pt idx="55">
                  <c:v>7326</c:v>
                </c:pt>
                <c:pt idx="56">
                  <c:v>6167</c:v>
                </c:pt>
                <c:pt idx="57">
                  <c:v>5288</c:v>
                </c:pt>
                <c:pt idx="58">
                  <c:v>1705</c:v>
                </c:pt>
                <c:pt idx="59">
                  <c:v>1325</c:v>
                </c:pt>
                <c:pt idx="60">
                  <c:v>1555</c:v>
                </c:pt>
                <c:pt idx="61">
                  <c:v>1178</c:v>
                </c:pt>
                <c:pt idx="62">
                  <c:v>2861</c:v>
                </c:pt>
                <c:pt idx="63">
                  <c:v>853</c:v>
                </c:pt>
                <c:pt idx="64">
                  <c:v>1178</c:v>
                </c:pt>
                <c:pt idx="65">
                  <c:v>3173</c:v>
                </c:pt>
                <c:pt idx="66">
                  <c:v>824</c:v>
                </c:pt>
                <c:pt idx="67">
                  <c:v>13970</c:v>
                </c:pt>
                <c:pt idx="68">
                  <c:v>6715</c:v>
                </c:pt>
                <c:pt idx="69">
                  <c:v>4825</c:v>
                </c:pt>
                <c:pt idx="70">
                  <c:v>1299</c:v>
                </c:pt>
                <c:pt idx="71">
                  <c:v>3633</c:v>
                </c:pt>
                <c:pt idx="72">
                  <c:v>1159</c:v>
                </c:pt>
                <c:pt idx="73">
                  <c:v>6342</c:v>
                </c:pt>
                <c:pt idx="74">
                  <c:v>5154</c:v>
                </c:pt>
                <c:pt idx="75">
                  <c:v>4516</c:v>
                </c:pt>
                <c:pt idx="76">
                  <c:v>351</c:v>
                </c:pt>
                <c:pt idx="77">
                  <c:v>5203</c:v>
                </c:pt>
                <c:pt idx="78">
                  <c:v>2218</c:v>
                </c:pt>
                <c:pt idx="79">
                  <c:v>333</c:v>
                </c:pt>
                <c:pt idx="80">
                  <c:v>522</c:v>
                </c:pt>
                <c:pt idx="81">
                  <c:v>1358</c:v>
                </c:pt>
                <c:pt idx="82">
                  <c:v>1512</c:v>
                </c:pt>
                <c:pt idx="83">
                  <c:v>7837</c:v>
                </c:pt>
                <c:pt idx="84">
                  <c:v>1804</c:v>
                </c:pt>
                <c:pt idx="85">
                  <c:v>2557</c:v>
                </c:pt>
                <c:pt idx="86">
                  <c:v>2022</c:v>
                </c:pt>
                <c:pt idx="87">
                  <c:v>514</c:v>
                </c:pt>
                <c:pt idx="88">
                  <c:v>3025</c:v>
                </c:pt>
                <c:pt idx="89">
                  <c:v>13970</c:v>
                </c:pt>
                <c:pt idx="90">
                  <c:v>500</c:v>
                </c:pt>
                <c:pt idx="91">
                  <c:v>1810</c:v>
                </c:pt>
                <c:pt idx="92">
                  <c:v>6716</c:v>
                </c:pt>
                <c:pt idx="93">
                  <c:v>4735</c:v>
                </c:pt>
                <c:pt idx="94">
                  <c:v>1965</c:v>
                </c:pt>
                <c:pt idx="95">
                  <c:v>749</c:v>
                </c:pt>
                <c:pt idx="96">
                  <c:v>4755</c:v>
                </c:pt>
                <c:pt idx="97">
                  <c:v>2488</c:v>
                </c:pt>
                <c:pt idx="98">
                  <c:v>1007</c:v>
                </c:pt>
                <c:pt idx="99">
                  <c:v>1692</c:v>
                </c:pt>
                <c:pt idx="100">
                  <c:v>293</c:v>
                </c:pt>
                <c:pt idx="101">
                  <c:v>1261</c:v>
                </c:pt>
                <c:pt idx="102">
                  <c:v>3131</c:v>
                </c:pt>
                <c:pt idx="103">
                  <c:v>862</c:v>
                </c:pt>
                <c:pt idx="104">
                  <c:v>3882</c:v>
                </c:pt>
                <c:pt idx="105">
                  <c:v>3714</c:v>
                </c:pt>
                <c:pt idx="106">
                  <c:v>2281</c:v>
                </c:pt>
                <c:pt idx="107">
                  <c:v>3374</c:v>
                </c:pt>
                <c:pt idx="108">
                  <c:v>1862</c:v>
                </c:pt>
                <c:pt idx="109">
                  <c:v>1365</c:v>
                </c:pt>
                <c:pt idx="110">
                  <c:v>3301</c:v>
                </c:pt>
                <c:pt idx="111">
                  <c:v>2693</c:v>
                </c:pt>
                <c:pt idx="112">
                  <c:v>2692</c:v>
                </c:pt>
                <c:pt idx="113">
                  <c:v>298</c:v>
                </c:pt>
                <c:pt idx="114">
                  <c:v>647</c:v>
                </c:pt>
                <c:pt idx="115">
                  <c:v>1327</c:v>
                </c:pt>
                <c:pt idx="116">
                  <c:v>1833</c:v>
                </c:pt>
                <c:pt idx="117">
                  <c:v>1410</c:v>
                </c:pt>
                <c:pt idx="118">
                  <c:v>945</c:v>
                </c:pt>
                <c:pt idx="119">
                  <c:v>896</c:v>
                </c:pt>
                <c:pt idx="120">
                  <c:v>1325</c:v>
                </c:pt>
                <c:pt idx="121">
                  <c:v>2560</c:v>
                </c:pt>
                <c:pt idx="122">
                  <c:v>2347</c:v>
                </c:pt>
                <c:pt idx="123">
                  <c:v>1116</c:v>
                </c:pt>
                <c:pt idx="124">
                  <c:v>1031</c:v>
                </c:pt>
                <c:pt idx="125">
                  <c:v>2936</c:v>
                </c:pt>
                <c:pt idx="126">
                  <c:v>477</c:v>
                </c:pt>
                <c:pt idx="127">
                  <c:v>2272</c:v>
                </c:pt>
                <c:pt idx="128">
                  <c:v>649</c:v>
                </c:pt>
                <c:pt idx="129">
                  <c:v>3045</c:v>
                </c:pt>
                <c:pt idx="130">
                  <c:v>2863</c:v>
                </c:pt>
                <c:pt idx="131">
                  <c:v>1193</c:v>
                </c:pt>
                <c:pt idx="132">
                  <c:v>3785</c:v>
                </c:pt>
                <c:pt idx="133">
                  <c:v>996</c:v>
                </c:pt>
                <c:pt idx="134">
                  <c:v>3134</c:v>
                </c:pt>
                <c:pt idx="135">
                  <c:v>1005</c:v>
                </c:pt>
                <c:pt idx="136">
                  <c:v>1436</c:v>
                </c:pt>
                <c:pt idx="137">
                  <c:v>601</c:v>
                </c:pt>
                <c:pt idx="138">
                  <c:v>2742</c:v>
                </c:pt>
                <c:pt idx="139">
                  <c:v>1475</c:v>
                </c:pt>
                <c:pt idx="140">
                  <c:v>1483</c:v>
                </c:pt>
                <c:pt idx="141">
                  <c:v>1188</c:v>
                </c:pt>
                <c:pt idx="142">
                  <c:v>1679</c:v>
                </c:pt>
                <c:pt idx="143">
                  <c:v>742</c:v>
                </c:pt>
                <c:pt idx="144">
                  <c:v>1508</c:v>
                </c:pt>
                <c:pt idx="145">
                  <c:v>2657</c:v>
                </c:pt>
                <c:pt idx="146">
                  <c:v>11431</c:v>
                </c:pt>
                <c:pt idx="147">
                  <c:v>2836</c:v>
                </c:pt>
                <c:pt idx="148">
                  <c:v>4029</c:v>
                </c:pt>
                <c:pt idx="149">
                  <c:v>621</c:v>
                </c:pt>
                <c:pt idx="150">
                  <c:v>439</c:v>
                </c:pt>
                <c:pt idx="151">
                  <c:v>621</c:v>
                </c:pt>
                <c:pt idx="152">
                  <c:v>671</c:v>
                </c:pt>
              </c:numCache>
            </c:numRef>
          </c:xVal>
          <c:yVal>
            <c:numRef>
              <c:f>Sheet1!$F$2:$F$154</c:f>
              <c:numCache>
                <c:formatCode>General</c:formatCode>
                <c:ptCount val="153"/>
                <c:pt idx="0">
                  <c:v>4.5</c:v>
                </c:pt>
                <c:pt idx="1">
                  <c:v>4.8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4.4000000000000004</c:v>
                </c:pt>
                <c:pt idx="5">
                  <c:v>4.8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4.3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4.8</c:v>
                </c:pt>
                <c:pt idx="15">
                  <c:v>4.3</c:v>
                </c:pt>
                <c:pt idx="16">
                  <c:v>4.7</c:v>
                </c:pt>
                <c:pt idx="17">
                  <c:v>4.7</c:v>
                </c:pt>
                <c:pt idx="18">
                  <c:v>4.4000000000000004</c:v>
                </c:pt>
                <c:pt idx="19">
                  <c:v>4.0999999999999996</c:v>
                </c:pt>
                <c:pt idx="20">
                  <c:v>4.3</c:v>
                </c:pt>
                <c:pt idx="21">
                  <c:v>4.5</c:v>
                </c:pt>
                <c:pt idx="22">
                  <c:v>4.8</c:v>
                </c:pt>
                <c:pt idx="23">
                  <c:v>4.7</c:v>
                </c:pt>
                <c:pt idx="24">
                  <c:v>4.3</c:v>
                </c:pt>
                <c:pt idx="25">
                  <c:v>4.3</c:v>
                </c:pt>
                <c:pt idx="26">
                  <c:v>4.5999999999999996</c:v>
                </c:pt>
                <c:pt idx="27">
                  <c:v>4.5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4.5999999999999996</c:v>
                </c:pt>
                <c:pt idx="33">
                  <c:v>4.8</c:v>
                </c:pt>
                <c:pt idx="34">
                  <c:v>4.7</c:v>
                </c:pt>
                <c:pt idx="35">
                  <c:v>4.3</c:v>
                </c:pt>
                <c:pt idx="36">
                  <c:v>4.4000000000000004</c:v>
                </c:pt>
                <c:pt idx="37">
                  <c:v>4.0999999999999996</c:v>
                </c:pt>
                <c:pt idx="38">
                  <c:v>4.9000000000000004</c:v>
                </c:pt>
                <c:pt idx="39">
                  <c:v>4.0999999999999996</c:v>
                </c:pt>
                <c:pt idx="40">
                  <c:v>4.7</c:v>
                </c:pt>
                <c:pt idx="41">
                  <c:v>4.5999999999999996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4.4000000000000004</c:v>
                </c:pt>
                <c:pt idx="50">
                  <c:v>4.5999999999999996</c:v>
                </c:pt>
                <c:pt idx="51">
                  <c:v>4.4000000000000004</c:v>
                </c:pt>
                <c:pt idx="52">
                  <c:v>4.5</c:v>
                </c:pt>
                <c:pt idx="53">
                  <c:v>4.5999999999999996</c:v>
                </c:pt>
                <c:pt idx="54">
                  <c:v>4.4000000000000004</c:v>
                </c:pt>
                <c:pt idx="55">
                  <c:v>4</c:v>
                </c:pt>
                <c:pt idx="56">
                  <c:v>4.8</c:v>
                </c:pt>
                <c:pt idx="57">
                  <c:v>4.8</c:v>
                </c:pt>
                <c:pt idx="58">
                  <c:v>4.5</c:v>
                </c:pt>
                <c:pt idx="59">
                  <c:v>4.5</c:v>
                </c:pt>
                <c:pt idx="60">
                  <c:v>4.4000000000000004</c:v>
                </c:pt>
                <c:pt idx="61">
                  <c:v>4.8</c:v>
                </c:pt>
                <c:pt idx="62">
                  <c:v>4.5</c:v>
                </c:pt>
                <c:pt idx="63">
                  <c:v>4.5</c:v>
                </c:pt>
                <c:pt idx="64">
                  <c:v>4.8</c:v>
                </c:pt>
                <c:pt idx="65">
                  <c:v>4.7</c:v>
                </c:pt>
                <c:pt idx="66">
                  <c:v>4.9000000000000004</c:v>
                </c:pt>
                <c:pt idx="67">
                  <c:v>4.5</c:v>
                </c:pt>
                <c:pt idx="68">
                  <c:v>4.8</c:v>
                </c:pt>
                <c:pt idx="69">
                  <c:v>4.8</c:v>
                </c:pt>
                <c:pt idx="70">
                  <c:v>4.7</c:v>
                </c:pt>
                <c:pt idx="71">
                  <c:v>4.4000000000000004</c:v>
                </c:pt>
                <c:pt idx="72">
                  <c:v>4.8</c:v>
                </c:pt>
                <c:pt idx="73">
                  <c:v>4.2</c:v>
                </c:pt>
                <c:pt idx="74">
                  <c:v>4.4000000000000004</c:v>
                </c:pt>
                <c:pt idx="75">
                  <c:v>4.7</c:v>
                </c:pt>
                <c:pt idx="76">
                  <c:v>4.7</c:v>
                </c:pt>
                <c:pt idx="77">
                  <c:v>4.3</c:v>
                </c:pt>
                <c:pt idx="78">
                  <c:v>4.5</c:v>
                </c:pt>
                <c:pt idx="79">
                  <c:v>4.4000000000000004</c:v>
                </c:pt>
                <c:pt idx="80">
                  <c:v>4.8</c:v>
                </c:pt>
                <c:pt idx="81">
                  <c:v>4.7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4.5999999999999996</c:v>
                </c:pt>
                <c:pt idx="85">
                  <c:v>4.9000000000000004</c:v>
                </c:pt>
                <c:pt idx="86">
                  <c:v>4.5</c:v>
                </c:pt>
                <c:pt idx="87">
                  <c:v>4.5999999999999996</c:v>
                </c:pt>
                <c:pt idx="88">
                  <c:v>4.5</c:v>
                </c:pt>
                <c:pt idx="89">
                  <c:v>4.5</c:v>
                </c:pt>
                <c:pt idx="90">
                  <c:v>4.5999999999999996</c:v>
                </c:pt>
                <c:pt idx="91">
                  <c:v>4.8</c:v>
                </c:pt>
                <c:pt idx="92">
                  <c:v>4.8</c:v>
                </c:pt>
                <c:pt idx="93">
                  <c:v>4.8</c:v>
                </c:pt>
                <c:pt idx="94">
                  <c:v>4.5</c:v>
                </c:pt>
                <c:pt idx="95">
                  <c:v>4.8</c:v>
                </c:pt>
                <c:pt idx="96">
                  <c:v>4.5</c:v>
                </c:pt>
                <c:pt idx="97">
                  <c:v>4.7</c:v>
                </c:pt>
                <c:pt idx="98">
                  <c:v>4.8</c:v>
                </c:pt>
                <c:pt idx="99">
                  <c:v>4.5999999999999996</c:v>
                </c:pt>
                <c:pt idx="100">
                  <c:v>4.4000000000000004</c:v>
                </c:pt>
                <c:pt idx="101">
                  <c:v>4.4000000000000004</c:v>
                </c:pt>
                <c:pt idx="102">
                  <c:v>4.7</c:v>
                </c:pt>
                <c:pt idx="103">
                  <c:v>4.3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4.5999999999999996</c:v>
                </c:pt>
                <c:pt idx="108">
                  <c:v>4.3</c:v>
                </c:pt>
                <c:pt idx="109">
                  <c:v>4.7</c:v>
                </c:pt>
                <c:pt idx="110">
                  <c:v>4.8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4.8</c:v>
                </c:pt>
                <c:pt idx="114">
                  <c:v>4.8</c:v>
                </c:pt>
                <c:pt idx="115">
                  <c:v>4.7</c:v>
                </c:pt>
                <c:pt idx="116">
                  <c:v>4.7</c:v>
                </c:pt>
                <c:pt idx="117">
                  <c:v>4.3</c:v>
                </c:pt>
                <c:pt idx="118">
                  <c:v>4.5999999999999996</c:v>
                </c:pt>
                <c:pt idx="119">
                  <c:v>4.4000000000000004</c:v>
                </c:pt>
                <c:pt idx="120">
                  <c:v>4.8</c:v>
                </c:pt>
                <c:pt idx="121">
                  <c:v>4.7</c:v>
                </c:pt>
                <c:pt idx="122">
                  <c:v>4.7</c:v>
                </c:pt>
                <c:pt idx="123">
                  <c:v>4.5999999999999996</c:v>
                </c:pt>
                <c:pt idx="124">
                  <c:v>4.5999999999999996</c:v>
                </c:pt>
                <c:pt idx="125">
                  <c:v>4.7</c:v>
                </c:pt>
                <c:pt idx="126">
                  <c:v>4.7</c:v>
                </c:pt>
                <c:pt idx="127">
                  <c:v>4.7</c:v>
                </c:pt>
                <c:pt idx="128">
                  <c:v>4.8</c:v>
                </c:pt>
                <c:pt idx="129">
                  <c:v>4.7</c:v>
                </c:pt>
                <c:pt idx="130">
                  <c:v>4.5</c:v>
                </c:pt>
                <c:pt idx="131">
                  <c:v>4.8</c:v>
                </c:pt>
                <c:pt idx="132">
                  <c:v>4.4000000000000004</c:v>
                </c:pt>
                <c:pt idx="133">
                  <c:v>4.5</c:v>
                </c:pt>
                <c:pt idx="134">
                  <c:v>4.5999999999999996</c:v>
                </c:pt>
                <c:pt idx="135">
                  <c:v>4.8</c:v>
                </c:pt>
                <c:pt idx="136">
                  <c:v>4.8</c:v>
                </c:pt>
                <c:pt idx="137">
                  <c:v>4.5</c:v>
                </c:pt>
                <c:pt idx="138">
                  <c:v>4.5999999999999996</c:v>
                </c:pt>
                <c:pt idx="139">
                  <c:v>4.8</c:v>
                </c:pt>
                <c:pt idx="140">
                  <c:v>4.5999999999999996</c:v>
                </c:pt>
                <c:pt idx="141">
                  <c:v>4.7</c:v>
                </c:pt>
                <c:pt idx="142">
                  <c:v>4.8</c:v>
                </c:pt>
                <c:pt idx="143">
                  <c:v>4.7</c:v>
                </c:pt>
                <c:pt idx="144">
                  <c:v>4.7</c:v>
                </c:pt>
                <c:pt idx="145">
                  <c:v>4.5999999999999996</c:v>
                </c:pt>
                <c:pt idx="146">
                  <c:v>4.5</c:v>
                </c:pt>
                <c:pt idx="147">
                  <c:v>4.5999999999999996</c:v>
                </c:pt>
                <c:pt idx="148">
                  <c:v>4.5</c:v>
                </c:pt>
                <c:pt idx="149">
                  <c:v>4.7</c:v>
                </c:pt>
                <c:pt idx="150">
                  <c:v>4.8</c:v>
                </c:pt>
                <c:pt idx="151">
                  <c:v>4.5999999999999996</c:v>
                </c:pt>
                <c:pt idx="152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6-904B-9789-080B5543D2BE}"/>
            </c:ext>
          </c:extLst>
        </c:ser>
        <c:ser>
          <c:idx val="1"/>
          <c:order val="1"/>
          <c:tx>
            <c:v>预测 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Sheet1!$K$2:$K$154</c:f>
              <c:numCache>
                <c:formatCode>General</c:formatCode>
                <c:ptCount val="153"/>
                <c:pt idx="0">
                  <c:v>2426</c:v>
                </c:pt>
                <c:pt idx="1">
                  <c:v>819</c:v>
                </c:pt>
                <c:pt idx="2">
                  <c:v>2609</c:v>
                </c:pt>
                <c:pt idx="3">
                  <c:v>6628</c:v>
                </c:pt>
                <c:pt idx="4">
                  <c:v>4632</c:v>
                </c:pt>
                <c:pt idx="5">
                  <c:v>1723</c:v>
                </c:pt>
                <c:pt idx="6">
                  <c:v>3032</c:v>
                </c:pt>
                <c:pt idx="7">
                  <c:v>5100</c:v>
                </c:pt>
                <c:pt idx="8">
                  <c:v>1722</c:v>
                </c:pt>
                <c:pt idx="9">
                  <c:v>4719</c:v>
                </c:pt>
                <c:pt idx="10">
                  <c:v>4947</c:v>
                </c:pt>
                <c:pt idx="11">
                  <c:v>3666</c:v>
                </c:pt>
                <c:pt idx="12">
                  <c:v>3778</c:v>
                </c:pt>
                <c:pt idx="13">
                  <c:v>1327</c:v>
                </c:pt>
                <c:pt idx="14">
                  <c:v>1416</c:v>
                </c:pt>
                <c:pt idx="15">
                  <c:v>2429</c:v>
                </c:pt>
                <c:pt idx="16">
                  <c:v>1718</c:v>
                </c:pt>
                <c:pt idx="17">
                  <c:v>737</c:v>
                </c:pt>
                <c:pt idx="18">
                  <c:v>2708</c:v>
                </c:pt>
                <c:pt idx="19">
                  <c:v>5744</c:v>
                </c:pt>
                <c:pt idx="20">
                  <c:v>7406</c:v>
                </c:pt>
                <c:pt idx="21">
                  <c:v>426</c:v>
                </c:pt>
                <c:pt idx="22">
                  <c:v>1514</c:v>
                </c:pt>
                <c:pt idx="23">
                  <c:v>2308</c:v>
                </c:pt>
                <c:pt idx="24">
                  <c:v>911</c:v>
                </c:pt>
                <c:pt idx="25">
                  <c:v>2028</c:v>
                </c:pt>
                <c:pt idx="26">
                  <c:v>5644</c:v>
                </c:pt>
                <c:pt idx="27">
                  <c:v>2026</c:v>
                </c:pt>
                <c:pt idx="28">
                  <c:v>888</c:v>
                </c:pt>
                <c:pt idx="29">
                  <c:v>6092</c:v>
                </c:pt>
                <c:pt idx="30">
                  <c:v>3668</c:v>
                </c:pt>
                <c:pt idx="31">
                  <c:v>7447</c:v>
                </c:pt>
                <c:pt idx="32">
                  <c:v>12712</c:v>
                </c:pt>
                <c:pt idx="33">
                  <c:v>766</c:v>
                </c:pt>
                <c:pt idx="34">
                  <c:v>3099</c:v>
                </c:pt>
                <c:pt idx="35">
                  <c:v>15033</c:v>
                </c:pt>
                <c:pt idx="36">
                  <c:v>609</c:v>
                </c:pt>
                <c:pt idx="37">
                  <c:v>374</c:v>
                </c:pt>
                <c:pt idx="38">
                  <c:v>6122</c:v>
                </c:pt>
                <c:pt idx="39">
                  <c:v>576</c:v>
                </c:pt>
                <c:pt idx="40">
                  <c:v>4128</c:v>
                </c:pt>
                <c:pt idx="41">
                  <c:v>1342</c:v>
                </c:pt>
                <c:pt idx="42">
                  <c:v>11471</c:v>
                </c:pt>
                <c:pt idx="43">
                  <c:v>5581</c:v>
                </c:pt>
                <c:pt idx="44">
                  <c:v>3441</c:v>
                </c:pt>
                <c:pt idx="45">
                  <c:v>2958</c:v>
                </c:pt>
                <c:pt idx="46">
                  <c:v>7586</c:v>
                </c:pt>
                <c:pt idx="47">
                  <c:v>1260</c:v>
                </c:pt>
                <c:pt idx="48">
                  <c:v>1437</c:v>
                </c:pt>
                <c:pt idx="49">
                  <c:v>2339</c:v>
                </c:pt>
                <c:pt idx="50">
                  <c:v>2208</c:v>
                </c:pt>
                <c:pt idx="51">
                  <c:v>632</c:v>
                </c:pt>
                <c:pt idx="52">
                  <c:v>14397</c:v>
                </c:pt>
                <c:pt idx="53">
                  <c:v>3145</c:v>
                </c:pt>
                <c:pt idx="54">
                  <c:v>11609</c:v>
                </c:pt>
                <c:pt idx="55">
                  <c:v>7326</c:v>
                </c:pt>
                <c:pt idx="56">
                  <c:v>6167</c:v>
                </c:pt>
                <c:pt idx="57">
                  <c:v>5288</c:v>
                </c:pt>
                <c:pt idx="58">
                  <c:v>1705</c:v>
                </c:pt>
                <c:pt idx="59">
                  <c:v>1325</c:v>
                </c:pt>
                <c:pt idx="60">
                  <c:v>1555</c:v>
                </c:pt>
                <c:pt idx="61">
                  <c:v>1178</c:v>
                </c:pt>
                <c:pt idx="62">
                  <c:v>2861</c:v>
                </c:pt>
                <c:pt idx="63">
                  <c:v>853</c:v>
                </c:pt>
                <c:pt idx="64">
                  <c:v>1178</c:v>
                </c:pt>
                <c:pt idx="65">
                  <c:v>3173</c:v>
                </c:pt>
                <c:pt idx="66">
                  <c:v>824</c:v>
                </c:pt>
                <c:pt idx="67">
                  <c:v>13970</c:v>
                </c:pt>
                <c:pt idx="68">
                  <c:v>6715</c:v>
                </c:pt>
                <c:pt idx="69">
                  <c:v>4825</c:v>
                </c:pt>
                <c:pt idx="70">
                  <c:v>1299</c:v>
                </c:pt>
                <c:pt idx="71">
                  <c:v>3633</c:v>
                </c:pt>
                <c:pt idx="72">
                  <c:v>1159</c:v>
                </c:pt>
                <c:pt idx="73">
                  <c:v>6342</c:v>
                </c:pt>
                <c:pt idx="74">
                  <c:v>5154</c:v>
                </c:pt>
                <c:pt idx="75">
                  <c:v>4516</c:v>
                </c:pt>
                <c:pt idx="76">
                  <c:v>351</c:v>
                </c:pt>
                <c:pt idx="77">
                  <c:v>5203</c:v>
                </c:pt>
                <c:pt idx="78">
                  <c:v>2218</c:v>
                </c:pt>
                <c:pt idx="79">
                  <c:v>333</c:v>
                </c:pt>
                <c:pt idx="80">
                  <c:v>522</c:v>
                </c:pt>
                <c:pt idx="81">
                  <c:v>1358</c:v>
                </c:pt>
                <c:pt idx="82">
                  <c:v>1512</c:v>
                </c:pt>
                <c:pt idx="83">
                  <c:v>7837</c:v>
                </c:pt>
                <c:pt idx="84">
                  <c:v>1804</c:v>
                </c:pt>
                <c:pt idx="85">
                  <c:v>2557</c:v>
                </c:pt>
                <c:pt idx="86">
                  <c:v>2022</c:v>
                </c:pt>
                <c:pt idx="87">
                  <c:v>514</c:v>
                </c:pt>
                <c:pt idx="88">
                  <c:v>3025</c:v>
                </c:pt>
                <c:pt idx="89">
                  <c:v>13970</c:v>
                </c:pt>
                <c:pt idx="90">
                  <c:v>500</c:v>
                </c:pt>
                <c:pt idx="91">
                  <c:v>1810</c:v>
                </c:pt>
                <c:pt idx="92">
                  <c:v>6716</c:v>
                </c:pt>
                <c:pt idx="93">
                  <c:v>4735</c:v>
                </c:pt>
                <c:pt idx="94">
                  <c:v>1965</c:v>
                </c:pt>
                <c:pt idx="95">
                  <c:v>749</c:v>
                </c:pt>
                <c:pt idx="96">
                  <c:v>4755</c:v>
                </c:pt>
                <c:pt idx="97">
                  <c:v>2488</c:v>
                </c:pt>
                <c:pt idx="98">
                  <c:v>1007</c:v>
                </c:pt>
                <c:pt idx="99">
                  <c:v>1692</c:v>
                </c:pt>
                <c:pt idx="100">
                  <c:v>293</c:v>
                </c:pt>
                <c:pt idx="101">
                  <c:v>1261</c:v>
                </c:pt>
                <c:pt idx="102">
                  <c:v>3131</c:v>
                </c:pt>
                <c:pt idx="103">
                  <c:v>862</c:v>
                </c:pt>
                <c:pt idx="104">
                  <c:v>3882</c:v>
                </c:pt>
                <c:pt idx="105">
                  <c:v>3714</c:v>
                </c:pt>
                <c:pt idx="106">
                  <c:v>2281</c:v>
                </c:pt>
                <c:pt idx="107">
                  <c:v>3374</c:v>
                </c:pt>
                <c:pt idx="108">
                  <c:v>1862</c:v>
                </c:pt>
                <c:pt idx="109">
                  <c:v>1365</c:v>
                </c:pt>
                <c:pt idx="110">
                  <c:v>3301</c:v>
                </c:pt>
                <c:pt idx="111">
                  <c:v>2693</c:v>
                </c:pt>
                <c:pt idx="112">
                  <c:v>2692</c:v>
                </c:pt>
                <c:pt idx="113">
                  <c:v>298</c:v>
                </c:pt>
                <c:pt idx="114">
                  <c:v>647</c:v>
                </c:pt>
                <c:pt idx="115">
                  <c:v>1327</c:v>
                </c:pt>
                <c:pt idx="116">
                  <c:v>1833</c:v>
                </c:pt>
                <c:pt idx="117">
                  <c:v>1410</c:v>
                </c:pt>
                <c:pt idx="118">
                  <c:v>945</c:v>
                </c:pt>
                <c:pt idx="119">
                  <c:v>896</c:v>
                </c:pt>
                <c:pt idx="120">
                  <c:v>1325</c:v>
                </c:pt>
                <c:pt idx="121">
                  <c:v>2560</c:v>
                </c:pt>
                <c:pt idx="122">
                  <c:v>2347</c:v>
                </c:pt>
                <c:pt idx="123">
                  <c:v>1116</c:v>
                </c:pt>
                <c:pt idx="124">
                  <c:v>1031</c:v>
                </c:pt>
                <c:pt idx="125">
                  <c:v>2936</c:v>
                </c:pt>
                <c:pt idx="126">
                  <c:v>477</c:v>
                </c:pt>
                <c:pt idx="127">
                  <c:v>2272</c:v>
                </c:pt>
                <c:pt idx="128">
                  <c:v>649</c:v>
                </c:pt>
                <c:pt idx="129">
                  <c:v>3045</c:v>
                </c:pt>
                <c:pt idx="130">
                  <c:v>2863</c:v>
                </c:pt>
                <c:pt idx="131">
                  <c:v>1193</c:v>
                </c:pt>
                <c:pt idx="132">
                  <c:v>3785</c:v>
                </c:pt>
                <c:pt idx="133">
                  <c:v>996</c:v>
                </c:pt>
                <c:pt idx="134">
                  <c:v>3134</c:v>
                </c:pt>
                <c:pt idx="135">
                  <c:v>1005</c:v>
                </c:pt>
                <c:pt idx="136">
                  <c:v>1436</c:v>
                </c:pt>
                <c:pt idx="137">
                  <c:v>601</c:v>
                </c:pt>
                <c:pt idx="138">
                  <c:v>2742</c:v>
                </c:pt>
                <c:pt idx="139">
                  <c:v>1475</c:v>
                </c:pt>
                <c:pt idx="140">
                  <c:v>1483</c:v>
                </c:pt>
                <c:pt idx="141">
                  <c:v>1188</c:v>
                </c:pt>
                <c:pt idx="142">
                  <c:v>1679</c:v>
                </c:pt>
                <c:pt idx="143">
                  <c:v>742</c:v>
                </c:pt>
                <c:pt idx="144">
                  <c:v>1508</c:v>
                </c:pt>
                <c:pt idx="145">
                  <c:v>2657</c:v>
                </c:pt>
                <c:pt idx="146">
                  <c:v>11431</c:v>
                </c:pt>
                <c:pt idx="147">
                  <c:v>2836</c:v>
                </c:pt>
                <c:pt idx="148">
                  <c:v>4029</c:v>
                </c:pt>
                <c:pt idx="149">
                  <c:v>621</c:v>
                </c:pt>
                <c:pt idx="150">
                  <c:v>439</c:v>
                </c:pt>
                <c:pt idx="151">
                  <c:v>621</c:v>
                </c:pt>
                <c:pt idx="152">
                  <c:v>671</c:v>
                </c:pt>
              </c:numCache>
            </c:numRef>
          </c:xVal>
          <c:yVal>
            <c:numRef>
              <c:f>Sheet3!$B$30:$B$182</c:f>
              <c:numCache>
                <c:formatCode>General</c:formatCode>
                <c:ptCount val="153"/>
                <c:pt idx="0">
                  <c:v>4.6925661415751803</c:v>
                </c:pt>
                <c:pt idx="1">
                  <c:v>4.7880448607378501</c:v>
                </c:pt>
                <c:pt idx="2">
                  <c:v>4.50725290629385</c:v>
                </c:pt>
                <c:pt idx="3">
                  <c:v>4.5689678897848998</c:v>
                </c:pt>
                <c:pt idx="4">
                  <c:v>4.5597111689452898</c:v>
                </c:pt>
                <c:pt idx="5">
                  <c:v>4.6467601814980997</c:v>
                </c:pt>
                <c:pt idx="6">
                  <c:v>4.6057236788936198</c:v>
                </c:pt>
                <c:pt idx="7">
                  <c:v>4.5807951095571804</c:v>
                </c:pt>
                <c:pt idx="8">
                  <c:v>4.4092534545583302</c:v>
                </c:pt>
                <c:pt idx="9">
                  <c:v>4.5458148877772304</c:v>
                </c:pt>
                <c:pt idx="10">
                  <c:v>4.6227145501397997</c:v>
                </c:pt>
                <c:pt idx="11">
                  <c:v>4.46571348630368</c:v>
                </c:pt>
                <c:pt idx="12">
                  <c:v>4.5591297990307602</c:v>
                </c:pt>
                <c:pt idx="13">
                  <c:v>4.6768080619372903</c:v>
                </c:pt>
                <c:pt idx="14">
                  <c:v>4.6716343156195803</c:v>
                </c:pt>
                <c:pt idx="15">
                  <c:v>4.61714501570086</c:v>
                </c:pt>
                <c:pt idx="16">
                  <c:v>4.63179974301746</c:v>
                </c:pt>
                <c:pt idx="17">
                  <c:v>4.64691190981803</c:v>
                </c:pt>
                <c:pt idx="18">
                  <c:v>4.56472995845448</c:v>
                </c:pt>
                <c:pt idx="19">
                  <c:v>4.5082181092481699</c:v>
                </c:pt>
                <c:pt idx="20">
                  <c:v>4.5360985765914004</c:v>
                </c:pt>
                <c:pt idx="21">
                  <c:v>4.5932205405165396</c:v>
                </c:pt>
                <c:pt idx="22">
                  <c:v>4.6272468844708596</c:v>
                </c:pt>
                <c:pt idx="23">
                  <c:v>4.5894422055407702</c:v>
                </c:pt>
                <c:pt idx="24">
                  <c:v>4.6110347511322098</c:v>
                </c:pt>
                <c:pt idx="25">
                  <c:v>4.52782350126241</c:v>
                </c:pt>
                <c:pt idx="26">
                  <c:v>4.5166176448186803</c:v>
                </c:pt>
                <c:pt idx="27">
                  <c:v>4.6081246042302801</c:v>
                </c:pt>
                <c:pt idx="28">
                  <c:v>4.5710526779811698</c:v>
                </c:pt>
                <c:pt idx="29">
                  <c:v>4.5791416007651602</c:v>
                </c:pt>
                <c:pt idx="30">
                  <c:v>4.56008034839763</c:v>
                </c:pt>
                <c:pt idx="31">
                  <c:v>4.52149455679334</c:v>
                </c:pt>
                <c:pt idx="32">
                  <c:v>4.4582602241573097</c:v>
                </c:pt>
                <c:pt idx="33">
                  <c:v>4.6074486713946596</c:v>
                </c:pt>
                <c:pt idx="34">
                  <c:v>4.64341531197016</c:v>
                </c:pt>
                <c:pt idx="35">
                  <c:v>4.3824289526504199</c:v>
                </c:pt>
                <c:pt idx="36">
                  <c:v>4.5826590702554499</c:v>
                </c:pt>
                <c:pt idx="37">
                  <c:v>4.5662419244775503</c:v>
                </c:pt>
                <c:pt idx="38">
                  <c:v>4.5794851540324304</c:v>
                </c:pt>
                <c:pt idx="39">
                  <c:v>4.5850718044372103</c:v>
                </c:pt>
                <c:pt idx="40">
                  <c:v>4.6624430554835801</c:v>
                </c:pt>
                <c:pt idx="41">
                  <c:v>4.6453865600413202</c:v>
                </c:pt>
                <c:pt idx="42">
                  <c:v>4.4695351188006098</c:v>
                </c:pt>
                <c:pt idx="43">
                  <c:v>4.5761610081306099</c:v>
                </c:pt>
                <c:pt idx="44">
                  <c:v>4.7179521196916996</c:v>
                </c:pt>
                <c:pt idx="45">
                  <c:v>4.5919113978972099</c:v>
                </c:pt>
                <c:pt idx="46">
                  <c:v>4.4838354720914104</c:v>
                </c:pt>
                <c:pt idx="47">
                  <c:v>4.6444882193281796</c:v>
                </c:pt>
                <c:pt idx="48">
                  <c:v>4.6194113359849798</c:v>
                </c:pt>
                <c:pt idx="49">
                  <c:v>4.5971571981004304</c:v>
                </c:pt>
                <c:pt idx="50">
                  <c:v>4.57495085024029</c:v>
                </c:pt>
                <c:pt idx="51">
                  <c:v>4.5180473334633904</c:v>
                </c:pt>
                <c:pt idx="52">
                  <c:v>4.4086561638790904</c:v>
                </c:pt>
                <c:pt idx="53">
                  <c:v>4.5973899214492704</c:v>
                </c:pt>
                <c:pt idx="54">
                  <c:v>4.3816692711251104</c:v>
                </c:pt>
                <c:pt idx="55">
                  <c:v>4.4833617362194902</c:v>
                </c:pt>
                <c:pt idx="56">
                  <c:v>4.6340197479728502</c:v>
                </c:pt>
                <c:pt idx="57">
                  <c:v>4.65078646964536</c:v>
                </c:pt>
                <c:pt idx="58">
                  <c:v>4.5357728508151904</c:v>
                </c:pt>
                <c:pt idx="59">
                  <c:v>4.5427877257396796</c:v>
                </c:pt>
                <c:pt idx="60">
                  <c:v>4.6178830207067403</c:v>
                </c:pt>
                <c:pt idx="61">
                  <c:v>4.6079688176546396</c:v>
                </c:pt>
                <c:pt idx="62">
                  <c:v>4.5580589201152399</c:v>
                </c:pt>
                <c:pt idx="63">
                  <c:v>4.6183579344736101</c:v>
                </c:pt>
                <c:pt idx="64">
                  <c:v>4.6154872197524304</c:v>
                </c:pt>
                <c:pt idx="65">
                  <c:v>4.5878363159685396</c:v>
                </c:pt>
                <c:pt idx="66">
                  <c:v>4.6486626278413201</c:v>
                </c:pt>
                <c:pt idx="67">
                  <c:v>4.3199200193028604</c:v>
                </c:pt>
                <c:pt idx="68">
                  <c:v>4.5806491575582298</c:v>
                </c:pt>
                <c:pt idx="69">
                  <c:v>4.6523331879240599</c:v>
                </c:pt>
                <c:pt idx="70">
                  <c:v>4.5709216988878199</c:v>
                </c:pt>
                <c:pt idx="71">
                  <c:v>4.6609491700467904</c:v>
                </c:pt>
                <c:pt idx="72">
                  <c:v>4.60971160538611</c:v>
                </c:pt>
                <c:pt idx="73">
                  <c:v>4.5634296893647504</c:v>
                </c:pt>
                <c:pt idx="74">
                  <c:v>4.5096374375362203</c:v>
                </c:pt>
                <c:pt idx="75">
                  <c:v>4.63074198791226</c:v>
                </c:pt>
                <c:pt idx="76">
                  <c:v>4.6355940667916196</c:v>
                </c:pt>
                <c:pt idx="77">
                  <c:v>4.5309507181046396</c:v>
                </c:pt>
                <c:pt idx="78">
                  <c:v>4.6305370760745204</c:v>
                </c:pt>
                <c:pt idx="79">
                  <c:v>4.6114447281046997</c:v>
                </c:pt>
                <c:pt idx="80">
                  <c:v>4.60313193721551</c:v>
                </c:pt>
                <c:pt idx="81">
                  <c:v>4.6279142012957397</c:v>
                </c:pt>
                <c:pt idx="82">
                  <c:v>4.6008834621645001</c:v>
                </c:pt>
                <c:pt idx="83">
                  <c:v>4.52688422784402</c:v>
                </c:pt>
                <c:pt idx="84">
                  <c:v>4.6124963724399803</c:v>
                </c:pt>
                <c:pt idx="85">
                  <c:v>4.6064147992925601</c:v>
                </c:pt>
                <c:pt idx="86">
                  <c:v>4.5885343597672099</c:v>
                </c:pt>
                <c:pt idx="87">
                  <c:v>4.5897676429227801</c:v>
                </c:pt>
                <c:pt idx="88">
                  <c:v>4.6180448535282297</c:v>
                </c:pt>
                <c:pt idx="89">
                  <c:v>4.6304172850433396</c:v>
                </c:pt>
                <c:pt idx="90">
                  <c:v>4.6223511649976103</c:v>
                </c:pt>
                <c:pt idx="91">
                  <c:v>4.5839592742686701</c:v>
                </c:pt>
                <c:pt idx="92">
                  <c:v>4.5806357609755999</c:v>
                </c:pt>
                <c:pt idx="93">
                  <c:v>4.6527140646963003</c:v>
                </c:pt>
                <c:pt idx="94">
                  <c:v>4.5977138531387798</c:v>
                </c:pt>
                <c:pt idx="95">
                  <c:v>4.5781149424193099</c:v>
                </c:pt>
                <c:pt idx="96">
                  <c:v>4.58367833955867</c:v>
                </c:pt>
                <c:pt idx="97">
                  <c:v>4.6497580649243497</c:v>
                </c:pt>
                <c:pt idx="98">
                  <c:v>4.5980234394937103</c:v>
                </c:pt>
                <c:pt idx="99">
                  <c:v>4.6182555278675599</c:v>
                </c:pt>
                <c:pt idx="100">
                  <c:v>4.6151953144388598</c:v>
                </c:pt>
                <c:pt idx="101">
                  <c:v>4.5377745666129803</c:v>
                </c:pt>
                <c:pt idx="102">
                  <c:v>4.5994687940819396</c:v>
                </c:pt>
                <c:pt idx="103">
                  <c:v>4.5814739031588196</c:v>
                </c:pt>
                <c:pt idx="104">
                  <c:v>4.4650248889704303</c:v>
                </c:pt>
                <c:pt idx="105">
                  <c:v>4.5477419429305499</c:v>
                </c:pt>
                <c:pt idx="106">
                  <c:v>4.5898366368475498</c:v>
                </c:pt>
                <c:pt idx="107">
                  <c:v>4.5721982876686598</c:v>
                </c:pt>
                <c:pt idx="108">
                  <c:v>4.6163766784977902</c:v>
                </c:pt>
                <c:pt idx="109">
                  <c:v>4.6861085051212701</c:v>
                </c:pt>
                <c:pt idx="110">
                  <c:v>4.5566218946079804</c:v>
                </c:pt>
                <c:pt idx="111">
                  <c:v>4.6419137920790501</c:v>
                </c:pt>
                <c:pt idx="112">
                  <c:v>4.6045690427628898</c:v>
                </c:pt>
                <c:pt idx="113">
                  <c:v>4.6247382226276201</c:v>
                </c:pt>
                <c:pt idx="114">
                  <c:v>4.6032431596046797</c:v>
                </c:pt>
                <c:pt idx="115">
                  <c:v>4.5824643299362</c:v>
                </c:pt>
                <c:pt idx="116">
                  <c:v>4.6319543176428004</c:v>
                </c:pt>
                <c:pt idx="117">
                  <c:v>4.6477915545291504</c:v>
                </c:pt>
                <c:pt idx="118">
                  <c:v>4.6302408540082096</c:v>
                </c:pt>
                <c:pt idx="119">
                  <c:v>4.6276006996547503</c:v>
                </c:pt>
                <c:pt idx="120">
                  <c:v>4.6426357414247503</c:v>
                </c:pt>
                <c:pt idx="121">
                  <c:v>4.6256879945839096</c:v>
                </c:pt>
                <c:pt idx="122">
                  <c:v>4.5780315379638896</c:v>
                </c:pt>
                <c:pt idx="123">
                  <c:v>4.5425264640081702</c:v>
                </c:pt>
                <c:pt idx="124">
                  <c:v>4.6732914771467904</c:v>
                </c:pt>
                <c:pt idx="125">
                  <c:v>4.5309085151768898</c:v>
                </c:pt>
                <c:pt idx="126">
                  <c:v>4.6429942343371504</c:v>
                </c:pt>
                <c:pt idx="127">
                  <c:v>4.6400850872273498</c:v>
                </c:pt>
                <c:pt idx="128">
                  <c:v>4.6377969340684997</c:v>
                </c:pt>
                <c:pt idx="129">
                  <c:v>4.6011907837054</c:v>
                </c:pt>
                <c:pt idx="130">
                  <c:v>4.6117884984702098</c:v>
                </c:pt>
                <c:pt idx="131">
                  <c:v>4.6337525341810499</c:v>
                </c:pt>
                <c:pt idx="132">
                  <c:v>4.6161639278165101</c:v>
                </c:pt>
                <c:pt idx="133">
                  <c:v>4.6188317824313501</c:v>
                </c:pt>
                <c:pt idx="134">
                  <c:v>4.6524072766075504</c:v>
                </c:pt>
                <c:pt idx="135">
                  <c:v>4.7240257534246304</c:v>
                </c:pt>
                <c:pt idx="136">
                  <c:v>4.6292420841871698</c:v>
                </c:pt>
                <c:pt idx="137">
                  <c:v>4.6054204753424104</c:v>
                </c:pt>
                <c:pt idx="138">
                  <c:v>4.5294523550191803</c:v>
                </c:pt>
                <c:pt idx="139">
                  <c:v>4.60846888349419</c:v>
                </c:pt>
                <c:pt idx="140">
                  <c:v>4.5750065799055504</c:v>
                </c:pt>
                <c:pt idx="141">
                  <c:v>4.8146400656711501</c:v>
                </c:pt>
                <c:pt idx="142">
                  <c:v>4.5948166755202804</c:v>
                </c:pt>
                <c:pt idx="143">
                  <c:v>4.5341754400480898</c:v>
                </c:pt>
                <c:pt idx="144">
                  <c:v>4.6006276219551596</c:v>
                </c:pt>
                <c:pt idx="145">
                  <c:v>4.6246258010353296</c:v>
                </c:pt>
                <c:pt idx="146">
                  <c:v>4.3921644892559</c:v>
                </c:pt>
                <c:pt idx="147">
                  <c:v>4.4944462849448898</c:v>
                </c:pt>
                <c:pt idx="148">
                  <c:v>4.5274572033298996</c:v>
                </c:pt>
                <c:pt idx="149">
                  <c:v>4.6214467745576604</c:v>
                </c:pt>
                <c:pt idx="150">
                  <c:v>4.5874674326926597</c:v>
                </c:pt>
                <c:pt idx="151">
                  <c:v>4.6083028134685797</c:v>
                </c:pt>
                <c:pt idx="152">
                  <c:v>4.5352063269875602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6-904B-9789-080B5543D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566640"/>
        <c:axId val="1698568912"/>
      </c:scatterChart>
      <c:valAx>
        <c:axId val="169856664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评价量 </a:t>
                </a:r>
                <a:r>
                  <a:rPr lang="en-US" altLang="zh-CN"/>
                  <a:t># of evaluation 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568912"/>
        <c:crosses val="autoZero"/>
        <c:crossBetween val="midCat"/>
      </c:valAx>
      <c:valAx>
        <c:axId val="169856891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总评分 </a:t>
                </a:r>
                <a:r>
                  <a:rPr lang="en-US" altLang="zh-CN"/>
                  <a:t>Total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566640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时长 </a:t>
            </a:r>
            <a:r>
              <a:rPr lang="en-US" altLang="zh-CN"/>
              <a:t>/ </a:t>
            </a:r>
            <a:r>
              <a:rPr lang="zh-CN" altLang="en-US"/>
              <a:t>年 </a:t>
            </a:r>
            <a:r>
              <a:rPr lang="en-US" altLang="zh-CN"/>
              <a:t>Time / years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Sheet3!$L$2:$L$154</c:f>
              <c:numCache>
                <c:formatCode>General</c:formatCode>
                <c:ptCount val="153"/>
              </c:numCache>
            </c:numRef>
          </c:xVal>
          <c:yVal>
            <c:numRef>
              <c:f>Sheet1!$F$2:$F$154</c:f>
              <c:numCache>
                <c:formatCode>General</c:formatCode>
                <c:ptCount val="153"/>
                <c:pt idx="0">
                  <c:v>4.5</c:v>
                </c:pt>
                <c:pt idx="1">
                  <c:v>4.8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4.4000000000000004</c:v>
                </c:pt>
                <c:pt idx="5">
                  <c:v>4.8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4.3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4.8</c:v>
                </c:pt>
                <c:pt idx="15">
                  <c:v>4.3</c:v>
                </c:pt>
                <c:pt idx="16">
                  <c:v>4.7</c:v>
                </c:pt>
                <c:pt idx="17">
                  <c:v>4.7</c:v>
                </c:pt>
                <c:pt idx="18">
                  <c:v>4.4000000000000004</c:v>
                </c:pt>
                <c:pt idx="19">
                  <c:v>4.0999999999999996</c:v>
                </c:pt>
                <c:pt idx="20">
                  <c:v>4.3</c:v>
                </c:pt>
                <c:pt idx="21">
                  <c:v>4.5</c:v>
                </c:pt>
                <c:pt idx="22">
                  <c:v>4.8</c:v>
                </c:pt>
                <c:pt idx="23">
                  <c:v>4.7</c:v>
                </c:pt>
                <c:pt idx="24">
                  <c:v>4.3</c:v>
                </c:pt>
                <c:pt idx="25">
                  <c:v>4.3</c:v>
                </c:pt>
                <c:pt idx="26">
                  <c:v>4.5999999999999996</c:v>
                </c:pt>
                <c:pt idx="27">
                  <c:v>4.5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4.5999999999999996</c:v>
                </c:pt>
                <c:pt idx="33">
                  <c:v>4.8</c:v>
                </c:pt>
                <c:pt idx="34">
                  <c:v>4.7</c:v>
                </c:pt>
                <c:pt idx="35">
                  <c:v>4.3</c:v>
                </c:pt>
                <c:pt idx="36">
                  <c:v>4.4000000000000004</c:v>
                </c:pt>
                <c:pt idx="37">
                  <c:v>4.0999999999999996</c:v>
                </c:pt>
                <c:pt idx="38">
                  <c:v>4.9000000000000004</c:v>
                </c:pt>
                <c:pt idx="39">
                  <c:v>4.0999999999999996</c:v>
                </c:pt>
                <c:pt idx="40">
                  <c:v>4.7</c:v>
                </c:pt>
                <c:pt idx="41">
                  <c:v>4.5999999999999996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4.4000000000000004</c:v>
                </c:pt>
                <c:pt idx="50">
                  <c:v>4.5999999999999996</c:v>
                </c:pt>
                <c:pt idx="51">
                  <c:v>4.4000000000000004</c:v>
                </c:pt>
                <c:pt idx="52">
                  <c:v>4.5</c:v>
                </c:pt>
                <c:pt idx="53">
                  <c:v>4.5999999999999996</c:v>
                </c:pt>
                <c:pt idx="54">
                  <c:v>4.4000000000000004</c:v>
                </c:pt>
                <c:pt idx="55">
                  <c:v>4</c:v>
                </c:pt>
                <c:pt idx="56">
                  <c:v>4.8</c:v>
                </c:pt>
                <c:pt idx="57">
                  <c:v>4.8</c:v>
                </c:pt>
                <c:pt idx="58">
                  <c:v>4.5</c:v>
                </c:pt>
                <c:pt idx="59">
                  <c:v>4.5</c:v>
                </c:pt>
                <c:pt idx="60">
                  <c:v>4.4000000000000004</c:v>
                </c:pt>
                <c:pt idx="61">
                  <c:v>4.8</c:v>
                </c:pt>
                <c:pt idx="62">
                  <c:v>4.5</c:v>
                </c:pt>
                <c:pt idx="63">
                  <c:v>4.5</c:v>
                </c:pt>
                <c:pt idx="64">
                  <c:v>4.8</c:v>
                </c:pt>
                <c:pt idx="65">
                  <c:v>4.7</c:v>
                </c:pt>
                <c:pt idx="66">
                  <c:v>4.9000000000000004</c:v>
                </c:pt>
                <c:pt idx="67">
                  <c:v>4.5</c:v>
                </c:pt>
                <c:pt idx="68">
                  <c:v>4.8</c:v>
                </c:pt>
                <c:pt idx="69">
                  <c:v>4.8</c:v>
                </c:pt>
                <c:pt idx="70">
                  <c:v>4.7</c:v>
                </c:pt>
                <c:pt idx="71">
                  <c:v>4.4000000000000004</c:v>
                </c:pt>
                <c:pt idx="72">
                  <c:v>4.8</c:v>
                </c:pt>
                <c:pt idx="73">
                  <c:v>4.2</c:v>
                </c:pt>
                <c:pt idx="74">
                  <c:v>4.4000000000000004</c:v>
                </c:pt>
                <c:pt idx="75">
                  <c:v>4.7</c:v>
                </c:pt>
                <c:pt idx="76">
                  <c:v>4.7</c:v>
                </c:pt>
                <c:pt idx="77">
                  <c:v>4.3</c:v>
                </c:pt>
                <c:pt idx="78">
                  <c:v>4.5</c:v>
                </c:pt>
                <c:pt idx="79">
                  <c:v>4.4000000000000004</c:v>
                </c:pt>
                <c:pt idx="80">
                  <c:v>4.8</c:v>
                </c:pt>
                <c:pt idx="81">
                  <c:v>4.7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4.5999999999999996</c:v>
                </c:pt>
                <c:pt idx="85">
                  <c:v>4.9000000000000004</c:v>
                </c:pt>
                <c:pt idx="86">
                  <c:v>4.5</c:v>
                </c:pt>
                <c:pt idx="87">
                  <c:v>4.5999999999999996</c:v>
                </c:pt>
                <c:pt idx="88">
                  <c:v>4.5</c:v>
                </c:pt>
                <c:pt idx="89">
                  <c:v>4.5</c:v>
                </c:pt>
                <c:pt idx="90">
                  <c:v>4.5999999999999996</c:v>
                </c:pt>
                <c:pt idx="91">
                  <c:v>4.8</c:v>
                </c:pt>
                <c:pt idx="92">
                  <c:v>4.8</c:v>
                </c:pt>
                <c:pt idx="93">
                  <c:v>4.8</c:v>
                </c:pt>
                <c:pt idx="94">
                  <c:v>4.5</c:v>
                </c:pt>
                <c:pt idx="95">
                  <c:v>4.8</c:v>
                </c:pt>
                <c:pt idx="96">
                  <c:v>4.5</c:v>
                </c:pt>
                <c:pt idx="97">
                  <c:v>4.7</c:v>
                </c:pt>
                <c:pt idx="98">
                  <c:v>4.8</c:v>
                </c:pt>
                <c:pt idx="99">
                  <c:v>4.5999999999999996</c:v>
                </c:pt>
                <c:pt idx="100">
                  <c:v>4.4000000000000004</c:v>
                </c:pt>
                <c:pt idx="101">
                  <c:v>4.4000000000000004</c:v>
                </c:pt>
                <c:pt idx="102">
                  <c:v>4.7</c:v>
                </c:pt>
                <c:pt idx="103">
                  <c:v>4.3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4.5999999999999996</c:v>
                </c:pt>
                <c:pt idx="108">
                  <c:v>4.3</c:v>
                </c:pt>
                <c:pt idx="109">
                  <c:v>4.7</c:v>
                </c:pt>
                <c:pt idx="110">
                  <c:v>4.8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4.8</c:v>
                </c:pt>
                <c:pt idx="114">
                  <c:v>4.8</c:v>
                </c:pt>
                <c:pt idx="115">
                  <c:v>4.7</c:v>
                </c:pt>
                <c:pt idx="116">
                  <c:v>4.7</c:v>
                </c:pt>
                <c:pt idx="117">
                  <c:v>4.3</c:v>
                </c:pt>
                <c:pt idx="118">
                  <c:v>4.5999999999999996</c:v>
                </c:pt>
                <c:pt idx="119">
                  <c:v>4.4000000000000004</c:v>
                </c:pt>
                <c:pt idx="120">
                  <c:v>4.8</c:v>
                </c:pt>
                <c:pt idx="121">
                  <c:v>4.7</c:v>
                </c:pt>
                <c:pt idx="122">
                  <c:v>4.7</c:v>
                </c:pt>
                <c:pt idx="123">
                  <c:v>4.5999999999999996</c:v>
                </c:pt>
                <c:pt idx="124">
                  <c:v>4.5999999999999996</c:v>
                </c:pt>
                <c:pt idx="125">
                  <c:v>4.7</c:v>
                </c:pt>
                <c:pt idx="126">
                  <c:v>4.7</c:v>
                </c:pt>
                <c:pt idx="127">
                  <c:v>4.7</c:v>
                </c:pt>
                <c:pt idx="128">
                  <c:v>4.8</c:v>
                </c:pt>
                <c:pt idx="129">
                  <c:v>4.7</c:v>
                </c:pt>
                <c:pt idx="130">
                  <c:v>4.5</c:v>
                </c:pt>
                <c:pt idx="131">
                  <c:v>4.8</c:v>
                </c:pt>
                <c:pt idx="132">
                  <c:v>4.4000000000000004</c:v>
                </c:pt>
                <c:pt idx="133">
                  <c:v>4.5</c:v>
                </c:pt>
                <c:pt idx="134">
                  <c:v>4.5999999999999996</c:v>
                </c:pt>
                <c:pt idx="135">
                  <c:v>4.8</c:v>
                </c:pt>
                <c:pt idx="136">
                  <c:v>4.8</c:v>
                </c:pt>
                <c:pt idx="137">
                  <c:v>4.5</c:v>
                </c:pt>
                <c:pt idx="138">
                  <c:v>4.5999999999999996</c:v>
                </c:pt>
                <c:pt idx="139">
                  <c:v>4.8</c:v>
                </c:pt>
                <c:pt idx="140">
                  <c:v>4.5999999999999996</c:v>
                </c:pt>
                <c:pt idx="141">
                  <c:v>4.7</c:v>
                </c:pt>
                <c:pt idx="142">
                  <c:v>4.8</c:v>
                </c:pt>
                <c:pt idx="143">
                  <c:v>4.7</c:v>
                </c:pt>
                <c:pt idx="144">
                  <c:v>4.7</c:v>
                </c:pt>
                <c:pt idx="145">
                  <c:v>4.5999999999999996</c:v>
                </c:pt>
                <c:pt idx="146">
                  <c:v>4.5</c:v>
                </c:pt>
                <c:pt idx="147">
                  <c:v>4.5999999999999996</c:v>
                </c:pt>
                <c:pt idx="148">
                  <c:v>4.5</c:v>
                </c:pt>
                <c:pt idx="149">
                  <c:v>4.7</c:v>
                </c:pt>
                <c:pt idx="150">
                  <c:v>4.8</c:v>
                </c:pt>
                <c:pt idx="151">
                  <c:v>4.5999999999999996</c:v>
                </c:pt>
                <c:pt idx="152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F4E-B100-5CF5BFA12B44}"/>
            </c:ext>
          </c:extLst>
        </c:ser>
        <c:ser>
          <c:idx val="1"/>
          <c:order val="1"/>
          <c:tx>
            <c:v>预测 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Sheet3!$L$2:$L$154</c:f>
              <c:numCache>
                <c:formatCode>General</c:formatCode>
                <c:ptCount val="153"/>
              </c:numCache>
            </c:numRef>
          </c:xVal>
          <c:yVal>
            <c:numRef>
              <c:f>Sheet3!$B$30:$B$182</c:f>
              <c:numCache>
                <c:formatCode>General</c:formatCode>
                <c:ptCount val="153"/>
                <c:pt idx="0">
                  <c:v>4.6925661415751803</c:v>
                </c:pt>
                <c:pt idx="1">
                  <c:v>4.7880448607378501</c:v>
                </c:pt>
                <c:pt idx="2">
                  <c:v>4.50725290629385</c:v>
                </c:pt>
                <c:pt idx="3">
                  <c:v>4.5689678897848998</c:v>
                </c:pt>
                <c:pt idx="4">
                  <c:v>4.5597111689452898</c:v>
                </c:pt>
                <c:pt idx="5">
                  <c:v>4.6467601814980997</c:v>
                </c:pt>
                <c:pt idx="6">
                  <c:v>4.6057236788936198</c:v>
                </c:pt>
                <c:pt idx="7">
                  <c:v>4.5807951095571804</c:v>
                </c:pt>
                <c:pt idx="8">
                  <c:v>4.4092534545583302</c:v>
                </c:pt>
                <c:pt idx="9">
                  <c:v>4.5458148877772304</c:v>
                </c:pt>
                <c:pt idx="10">
                  <c:v>4.6227145501397997</c:v>
                </c:pt>
                <c:pt idx="11">
                  <c:v>4.46571348630368</c:v>
                </c:pt>
                <c:pt idx="12">
                  <c:v>4.5591297990307602</c:v>
                </c:pt>
                <c:pt idx="13">
                  <c:v>4.6768080619372903</c:v>
                </c:pt>
                <c:pt idx="14">
                  <c:v>4.6716343156195803</c:v>
                </c:pt>
                <c:pt idx="15">
                  <c:v>4.61714501570086</c:v>
                </c:pt>
                <c:pt idx="16">
                  <c:v>4.63179974301746</c:v>
                </c:pt>
                <c:pt idx="17">
                  <c:v>4.64691190981803</c:v>
                </c:pt>
                <c:pt idx="18">
                  <c:v>4.56472995845448</c:v>
                </c:pt>
                <c:pt idx="19">
                  <c:v>4.5082181092481699</c:v>
                </c:pt>
                <c:pt idx="20">
                  <c:v>4.5360985765914004</c:v>
                </c:pt>
                <c:pt idx="21">
                  <c:v>4.5932205405165396</c:v>
                </c:pt>
                <c:pt idx="22">
                  <c:v>4.6272468844708596</c:v>
                </c:pt>
                <c:pt idx="23">
                  <c:v>4.5894422055407702</c:v>
                </c:pt>
                <c:pt idx="24">
                  <c:v>4.6110347511322098</c:v>
                </c:pt>
                <c:pt idx="25">
                  <c:v>4.52782350126241</c:v>
                </c:pt>
                <c:pt idx="26">
                  <c:v>4.5166176448186803</c:v>
                </c:pt>
                <c:pt idx="27">
                  <c:v>4.6081246042302801</c:v>
                </c:pt>
                <c:pt idx="28">
                  <c:v>4.5710526779811698</c:v>
                </c:pt>
                <c:pt idx="29">
                  <c:v>4.5791416007651602</c:v>
                </c:pt>
                <c:pt idx="30">
                  <c:v>4.56008034839763</c:v>
                </c:pt>
                <c:pt idx="31">
                  <c:v>4.52149455679334</c:v>
                </c:pt>
                <c:pt idx="32">
                  <c:v>4.4582602241573097</c:v>
                </c:pt>
                <c:pt idx="33">
                  <c:v>4.6074486713946596</c:v>
                </c:pt>
                <c:pt idx="34">
                  <c:v>4.64341531197016</c:v>
                </c:pt>
                <c:pt idx="35">
                  <c:v>4.3824289526504199</c:v>
                </c:pt>
                <c:pt idx="36">
                  <c:v>4.5826590702554499</c:v>
                </c:pt>
                <c:pt idx="37">
                  <c:v>4.5662419244775503</c:v>
                </c:pt>
                <c:pt idx="38">
                  <c:v>4.5794851540324304</c:v>
                </c:pt>
                <c:pt idx="39">
                  <c:v>4.5850718044372103</c:v>
                </c:pt>
                <c:pt idx="40">
                  <c:v>4.6624430554835801</c:v>
                </c:pt>
                <c:pt idx="41">
                  <c:v>4.6453865600413202</c:v>
                </c:pt>
                <c:pt idx="42">
                  <c:v>4.4695351188006098</c:v>
                </c:pt>
                <c:pt idx="43">
                  <c:v>4.5761610081306099</c:v>
                </c:pt>
                <c:pt idx="44">
                  <c:v>4.7179521196916996</c:v>
                </c:pt>
                <c:pt idx="45">
                  <c:v>4.5919113978972099</c:v>
                </c:pt>
                <c:pt idx="46">
                  <c:v>4.4838354720914104</c:v>
                </c:pt>
                <c:pt idx="47">
                  <c:v>4.6444882193281796</c:v>
                </c:pt>
                <c:pt idx="48">
                  <c:v>4.6194113359849798</c:v>
                </c:pt>
                <c:pt idx="49">
                  <c:v>4.5971571981004304</c:v>
                </c:pt>
                <c:pt idx="50">
                  <c:v>4.57495085024029</c:v>
                </c:pt>
                <c:pt idx="51">
                  <c:v>4.5180473334633904</c:v>
                </c:pt>
                <c:pt idx="52">
                  <c:v>4.4086561638790904</c:v>
                </c:pt>
                <c:pt idx="53">
                  <c:v>4.5973899214492704</c:v>
                </c:pt>
                <c:pt idx="54">
                  <c:v>4.3816692711251104</c:v>
                </c:pt>
                <c:pt idx="55">
                  <c:v>4.4833617362194902</c:v>
                </c:pt>
                <c:pt idx="56">
                  <c:v>4.6340197479728502</c:v>
                </c:pt>
                <c:pt idx="57">
                  <c:v>4.65078646964536</c:v>
                </c:pt>
                <c:pt idx="58">
                  <c:v>4.5357728508151904</c:v>
                </c:pt>
                <c:pt idx="59">
                  <c:v>4.5427877257396796</c:v>
                </c:pt>
                <c:pt idx="60">
                  <c:v>4.6178830207067403</c:v>
                </c:pt>
                <c:pt idx="61">
                  <c:v>4.6079688176546396</c:v>
                </c:pt>
                <c:pt idx="62">
                  <c:v>4.5580589201152399</c:v>
                </c:pt>
                <c:pt idx="63">
                  <c:v>4.6183579344736101</c:v>
                </c:pt>
                <c:pt idx="64">
                  <c:v>4.6154872197524304</c:v>
                </c:pt>
                <c:pt idx="65">
                  <c:v>4.5878363159685396</c:v>
                </c:pt>
                <c:pt idx="66">
                  <c:v>4.6486626278413201</c:v>
                </c:pt>
                <c:pt idx="67">
                  <c:v>4.3199200193028604</c:v>
                </c:pt>
                <c:pt idx="68">
                  <c:v>4.5806491575582298</c:v>
                </c:pt>
                <c:pt idx="69">
                  <c:v>4.6523331879240599</c:v>
                </c:pt>
                <c:pt idx="70">
                  <c:v>4.5709216988878199</c:v>
                </c:pt>
                <c:pt idx="71">
                  <c:v>4.6609491700467904</c:v>
                </c:pt>
                <c:pt idx="72">
                  <c:v>4.60971160538611</c:v>
                </c:pt>
                <c:pt idx="73">
                  <c:v>4.5634296893647504</c:v>
                </c:pt>
                <c:pt idx="74">
                  <c:v>4.5096374375362203</c:v>
                </c:pt>
                <c:pt idx="75">
                  <c:v>4.63074198791226</c:v>
                </c:pt>
                <c:pt idx="76">
                  <c:v>4.6355940667916196</c:v>
                </c:pt>
                <c:pt idx="77">
                  <c:v>4.5309507181046396</c:v>
                </c:pt>
                <c:pt idx="78">
                  <c:v>4.6305370760745204</c:v>
                </c:pt>
                <c:pt idx="79">
                  <c:v>4.6114447281046997</c:v>
                </c:pt>
                <c:pt idx="80">
                  <c:v>4.60313193721551</c:v>
                </c:pt>
                <c:pt idx="81">
                  <c:v>4.6279142012957397</c:v>
                </c:pt>
                <c:pt idx="82">
                  <c:v>4.6008834621645001</c:v>
                </c:pt>
                <c:pt idx="83">
                  <c:v>4.52688422784402</c:v>
                </c:pt>
                <c:pt idx="84">
                  <c:v>4.6124963724399803</c:v>
                </c:pt>
                <c:pt idx="85">
                  <c:v>4.6064147992925601</c:v>
                </c:pt>
                <c:pt idx="86">
                  <c:v>4.5885343597672099</c:v>
                </c:pt>
                <c:pt idx="87">
                  <c:v>4.5897676429227801</c:v>
                </c:pt>
                <c:pt idx="88">
                  <c:v>4.6180448535282297</c:v>
                </c:pt>
                <c:pt idx="89">
                  <c:v>4.6304172850433396</c:v>
                </c:pt>
                <c:pt idx="90">
                  <c:v>4.6223511649976103</c:v>
                </c:pt>
                <c:pt idx="91">
                  <c:v>4.5839592742686701</c:v>
                </c:pt>
                <c:pt idx="92">
                  <c:v>4.5806357609755999</c:v>
                </c:pt>
                <c:pt idx="93">
                  <c:v>4.6527140646963003</c:v>
                </c:pt>
                <c:pt idx="94">
                  <c:v>4.5977138531387798</c:v>
                </c:pt>
                <c:pt idx="95">
                  <c:v>4.5781149424193099</c:v>
                </c:pt>
                <c:pt idx="96">
                  <c:v>4.58367833955867</c:v>
                </c:pt>
                <c:pt idx="97">
                  <c:v>4.6497580649243497</c:v>
                </c:pt>
                <c:pt idx="98">
                  <c:v>4.5980234394937103</c:v>
                </c:pt>
                <c:pt idx="99">
                  <c:v>4.6182555278675599</c:v>
                </c:pt>
                <c:pt idx="100">
                  <c:v>4.6151953144388598</c:v>
                </c:pt>
                <c:pt idx="101">
                  <c:v>4.5377745666129803</c:v>
                </c:pt>
                <c:pt idx="102">
                  <c:v>4.5994687940819396</c:v>
                </c:pt>
                <c:pt idx="103">
                  <c:v>4.5814739031588196</c:v>
                </c:pt>
                <c:pt idx="104">
                  <c:v>4.4650248889704303</c:v>
                </c:pt>
                <c:pt idx="105">
                  <c:v>4.5477419429305499</c:v>
                </c:pt>
                <c:pt idx="106">
                  <c:v>4.5898366368475498</c:v>
                </c:pt>
                <c:pt idx="107">
                  <c:v>4.5721982876686598</c:v>
                </c:pt>
                <c:pt idx="108">
                  <c:v>4.6163766784977902</c:v>
                </c:pt>
                <c:pt idx="109">
                  <c:v>4.6861085051212701</c:v>
                </c:pt>
                <c:pt idx="110">
                  <c:v>4.5566218946079804</c:v>
                </c:pt>
                <c:pt idx="111">
                  <c:v>4.6419137920790501</c:v>
                </c:pt>
                <c:pt idx="112">
                  <c:v>4.6045690427628898</c:v>
                </c:pt>
                <c:pt idx="113">
                  <c:v>4.6247382226276201</c:v>
                </c:pt>
                <c:pt idx="114">
                  <c:v>4.6032431596046797</c:v>
                </c:pt>
                <c:pt idx="115">
                  <c:v>4.5824643299362</c:v>
                </c:pt>
                <c:pt idx="116">
                  <c:v>4.6319543176428004</c:v>
                </c:pt>
                <c:pt idx="117">
                  <c:v>4.6477915545291504</c:v>
                </c:pt>
                <c:pt idx="118">
                  <c:v>4.6302408540082096</c:v>
                </c:pt>
                <c:pt idx="119">
                  <c:v>4.6276006996547503</c:v>
                </c:pt>
                <c:pt idx="120">
                  <c:v>4.6426357414247503</c:v>
                </c:pt>
                <c:pt idx="121">
                  <c:v>4.6256879945839096</c:v>
                </c:pt>
                <c:pt idx="122">
                  <c:v>4.5780315379638896</c:v>
                </c:pt>
                <c:pt idx="123">
                  <c:v>4.5425264640081702</c:v>
                </c:pt>
                <c:pt idx="124">
                  <c:v>4.6732914771467904</c:v>
                </c:pt>
                <c:pt idx="125">
                  <c:v>4.5309085151768898</c:v>
                </c:pt>
                <c:pt idx="126">
                  <c:v>4.6429942343371504</c:v>
                </c:pt>
                <c:pt idx="127">
                  <c:v>4.6400850872273498</c:v>
                </c:pt>
                <c:pt idx="128">
                  <c:v>4.6377969340684997</c:v>
                </c:pt>
                <c:pt idx="129">
                  <c:v>4.6011907837054</c:v>
                </c:pt>
                <c:pt idx="130">
                  <c:v>4.6117884984702098</c:v>
                </c:pt>
                <c:pt idx="131">
                  <c:v>4.6337525341810499</c:v>
                </c:pt>
                <c:pt idx="132">
                  <c:v>4.6161639278165101</c:v>
                </c:pt>
                <c:pt idx="133">
                  <c:v>4.6188317824313501</c:v>
                </c:pt>
                <c:pt idx="134">
                  <c:v>4.6524072766075504</c:v>
                </c:pt>
                <c:pt idx="135">
                  <c:v>4.7240257534246304</c:v>
                </c:pt>
                <c:pt idx="136">
                  <c:v>4.6292420841871698</c:v>
                </c:pt>
                <c:pt idx="137">
                  <c:v>4.6054204753424104</c:v>
                </c:pt>
                <c:pt idx="138">
                  <c:v>4.5294523550191803</c:v>
                </c:pt>
                <c:pt idx="139">
                  <c:v>4.60846888349419</c:v>
                </c:pt>
                <c:pt idx="140">
                  <c:v>4.5750065799055504</c:v>
                </c:pt>
                <c:pt idx="141">
                  <c:v>4.8146400656711501</c:v>
                </c:pt>
                <c:pt idx="142">
                  <c:v>4.5948166755202804</c:v>
                </c:pt>
                <c:pt idx="143">
                  <c:v>4.5341754400480898</c:v>
                </c:pt>
                <c:pt idx="144">
                  <c:v>4.6006276219551596</c:v>
                </c:pt>
                <c:pt idx="145">
                  <c:v>4.6246258010353296</c:v>
                </c:pt>
                <c:pt idx="146">
                  <c:v>4.3921644892559</c:v>
                </c:pt>
                <c:pt idx="147">
                  <c:v>4.4944462849448898</c:v>
                </c:pt>
                <c:pt idx="148">
                  <c:v>4.5274572033298996</c:v>
                </c:pt>
                <c:pt idx="149">
                  <c:v>4.6214467745576604</c:v>
                </c:pt>
                <c:pt idx="150">
                  <c:v>4.5874674326926597</c:v>
                </c:pt>
                <c:pt idx="151">
                  <c:v>4.6083028134685797</c:v>
                </c:pt>
                <c:pt idx="152">
                  <c:v>4.5352063269875602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F4E-B100-5CF5BFA12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195488"/>
        <c:axId val="1754197760"/>
      </c:scatterChart>
      <c:valAx>
        <c:axId val="17541954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时长 </a:t>
                </a:r>
                <a:r>
                  <a:rPr lang="en-US" altLang="zh-CN"/>
                  <a:t>/ </a:t>
                </a:r>
                <a:r>
                  <a:rPr lang="zh-CN" altLang="en-US"/>
                  <a:t>年 </a:t>
                </a:r>
                <a:r>
                  <a:rPr lang="en-US" altLang="zh-CN"/>
                  <a:t>Time / 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4197760"/>
        <c:crosses val="autoZero"/>
        <c:crossBetween val="midCat"/>
      </c:valAx>
      <c:valAx>
        <c:axId val="175419776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总评分 </a:t>
                </a:r>
                <a:r>
                  <a:rPr lang="en-US" altLang="zh-CN"/>
                  <a:t>Total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4195488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年度星级商户次数 </a:t>
            </a:r>
            <a:r>
              <a:rPr lang="en-US" altLang="zh-CN"/>
              <a:t>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Sheet3!$M$2:$M$154</c:f>
              <c:numCache>
                <c:formatCode>General</c:formatCode>
                <c:ptCount val="153"/>
              </c:numCache>
            </c:numRef>
          </c:xVal>
          <c:yVal>
            <c:numRef>
              <c:f>Sheet1!$F$2:$F$154</c:f>
              <c:numCache>
                <c:formatCode>General</c:formatCode>
                <c:ptCount val="153"/>
                <c:pt idx="0">
                  <c:v>4.5</c:v>
                </c:pt>
                <c:pt idx="1">
                  <c:v>4.8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4.4000000000000004</c:v>
                </c:pt>
                <c:pt idx="5">
                  <c:v>4.8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4.3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4.8</c:v>
                </c:pt>
                <c:pt idx="15">
                  <c:v>4.3</c:v>
                </c:pt>
                <c:pt idx="16">
                  <c:v>4.7</c:v>
                </c:pt>
                <c:pt idx="17">
                  <c:v>4.7</c:v>
                </c:pt>
                <c:pt idx="18">
                  <c:v>4.4000000000000004</c:v>
                </c:pt>
                <c:pt idx="19">
                  <c:v>4.0999999999999996</c:v>
                </c:pt>
                <c:pt idx="20">
                  <c:v>4.3</c:v>
                </c:pt>
                <c:pt idx="21">
                  <c:v>4.5</c:v>
                </c:pt>
                <c:pt idx="22">
                  <c:v>4.8</c:v>
                </c:pt>
                <c:pt idx="23">
                  <c:v>4.7</c:v>
                </c:pt>
                <c:pt idx="24">
                  <c:v>4.3</c:v>
                </c:pt>
                <c:pt idx="25">
                  <c:v>4.3</c:v>
                </c:pt>
                <c:pt idx="26">
                  <c:v>4.5999999999999996</c:v>
                </c:pt>
                <c:pt idx="27">
                  <c:v>4.5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4.5999999999999996</c:v>
                </c:pt>
                <c:pt idx="33">
                  <c:v>4.8</c:v>
                </c:pt>
                <c:pt idx="34">
                  <c:v>4.7</c:v>
                </c:pt>
                <c:pt idx="35">
                  <c:v>4.3</c:v>
                </c:pt>
                <c:pt idx="36">
                  <c:v>4.4000000000000004</c:v>
                </c:pt>
                <c:pt idx="37">
                  <c:v>4.0999999999999996</c:v>
                </c:pt>
                <c:pt idx="38">
                  <c:v>4.9000000000000004</c:v>
                </c:pt>
                <c:pt idx="39">
                  <c:v>4.0999999999999996</c:v>
                </c:pt>
                <c:pt idx="40">
                  <c:v>4.7</c:v>
                </c:pt>
                <c:pt idx="41">
                  <c:v>4.5999999999999996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4.4000000000000004</c:v>
                </c:pt>
                <c:pt idx="50">
                  <c:v>4.5999999999999996</c:v>
                </c:pt>
                <c:pt idx="51">
                  <c:v>4.4000000000000004</c:v>
                </c:pt>
                <c:pt idx="52">
                  <c:v>4.5</c:v>
                </c:pt>
                <c:pt idx="53">
                  <c:v>4.5999999999999996</c:v>
                </c:pt>
                <c:pt idx="54">
                  <c:v>4.4000000000000004</c:v>
                </c:pt>
                <c:pt idx="55">
                  <c:v>4</c:v>
                </c:pt>
                <c:pt idx="56">
                  <c:v>4.8</c:v>
                </c:pt>
                <c:pt idx="57">
                  <c:v>4.8</c:v>
                </c:pt>
                <c:pt idx="58">
                  <c:v>4.5</c:v>
                </c:pt>
                <c:pt idx="59">
                  <c:v>4.5</c:v>
                </c:pt>
                <c:pt idx="60">
                  <c:v>4.4000000000000004</c:v>
                </c:pt>
                <c:pt idx="61">
                  <c:v>4.8</c:v>
                </c:pt>
                <c:pt idx="62">
                  <c:v>4.5</c:v>
                </c:pt>
                <c:pt idx="63">
                  <c:v>4.5</c:v>
                </c:pt>
                <c:pt idx="64">
                  <c:v>4.8</c:v>
                </c:pt>
                <c:pt idx="65">
                  <c:v>4.7</c:v>
                </c:pt>
                <c:pt idx="66">
                  <c:v>4.9000000000000004</c:v>
                </c:pt>
                <c:pt idx="67">
                  <c:v>4.5</c:v>
                </c:pt>
                <c:pt idx="68">
                  <c:v>4.8</c:v>
                </c:pt>
                <c:pt idx="69">
                  <c:v>4.8</c:v>
                </c:pt>
                <c:pt idx="70">
                  <c:v>4.7</c:v>
                </c:pt>
                <c:pt idx="71">
                  <c:v>4.4000000000000004</c:v>
                </c:pt>
                <c:pt idx="72">
                  <c:v>4.8</c:v>
                </c:pt>
                <c:pt idx="73">
                  <c:v>4.2</c:v>
                </c:pt>
                <c:pt idx="74">
                  <c:v>4.4000000000000004</c:v>
                </c:pt>
                <c:pt idx="75">
                  <c:v>4.7</c:v>
                </c:pt>
                <c:pt idx="76">
                  <c:v>4.7</c:v>
                </c:pt>
                <c:pt idx="77">
                  <c:v>4.3</c:v>
                </c:pt>
                <c:pt idx="78">
                  <c:v>4.5</c:v>
                </c:pt>
                <c:pt idx="79">
                  <c:v>4.4000000000000004</c:v>
                </c:pt>
                <c:pt idx="80">
                  <c:v>4.8</c:v>
                </c:pt>
                <c:pt idx="81">
                  <c:v>4.7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4.5999999999999996</c:v>
                </c:pt>
                <c:pt idx="85">
                  <c:v>4.9000000000000004</c:v>
                </c:pt>
                <c:pt idx="86">
                  <c:v>4.5</c:v>
                </c:pt>
                <c:pt idx="87">
                  <c:v>4.5999999999999996</c:v>
                </c:pt>
                <c:pt idx="88">
                  <c:v>4.5</c:v>
                </c:pt>
                <c:pt idx="89">
                  <c:v>4.5</c:v>
                </c:pt>
                <c:pt idx="90">
                  <c:v>4.5999999999999996</c:v>
                </c:pt>
                <c:pt idx="91">
                  <c:v>4.8</c:v>
                </c:pt>
                <c:pt idx="92">
                  <c:v>4.8</c:v>
                </c:pt>
                <c:pt idx="93">
                  <c:v>4.8</c:v>
                </c:pt>
                <c:pt idx="94">
                  <c:v>4.5</c:v>
                </c:pt>
                <c:pt idx="95">
                  <c:v>4.8</c:v>
                </c:pt>
                <c:pt idx="96">
                  <c:v>4.5</c:v>
                </c:pt>
                <c:pt idx="97">
                  <c:v>4.7</c:v>
                </c:pt>
                <c:pt idx="98">
                  <c:v>4.8</c:v>
                </c:pt>
                <c:pt idx="99">
                  <c:v>4.5999999999999996</c:v>
                </c:pt>
                <c:pt idx="100">
                  <c:v>4.4000000000000004</c:v>
                </c:pt>
                <c:pt idx="101">
                  <c:v>4.4000000000000004</c:v>
                </c:pt>
                <c:pt idx="102">
                  <c:v>4.7</c:v>
                </c:pt>
                <c:pt idx="103">
                  <c:v>4.3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4.5999999999999996</c:v>
                </c:pt>
                <c:pt idx="108">
                  <c:v>4.3</c:v>
                </c:pt>
                <c:pt idx="109">
                  <c:v>4.7</c:v>
                </c:pt>
                <c:pt idx="110">
                  <c:v>4.8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4.8</c:v>
                </c:pt>
                <c:pt idx="114">
                  <c:v>4.8</c:v>
                </c:pt>
                <c:pt idx="115">
                  <c:v>4.7</c:v>
                </c:pt>
                <c:pt idx="116">
                  <c:v>4.7</c:v>
                </c:pt>
                <c:pt idx="117">
                  <c:v>4.3</c:v>
                </c:pt>
                <c:pt idx="118">
                  <c:v>4.5999999999999996</c:v>
                </c:pt>
                <c:pt idx="119">
                  <c:v>4.4000000000000004</c:v>
                </c:pt>
                <c:pt idx="120">
                  <c:v>4.8</c:v>
                </c:pt>
                <c:pt idx="121">
                  <c:v>4.7</c:v>
                </c:pt>
                <c:pt idx="122">
                  <c:v>4.7</c:v>
                </c:pt>
                <c:pt idx="123">
                  <c:v>4.5999999999999996</c:v>
                </c:pt>
                <c:pt idx="124">
                  <c:v>4.5999999999999996</c:v>
                </c:pt>
                <c:pt idx="125">
                  <c:v>4.7</c:v>
                </c:pt>
                <c:pt idx="126">
                  <c:v>4.7</c:v>
                </c:pt>
                <c:pt idx="127">
                  <c:v>4.7</c:v>
                </c:pt>
                <c:pt idx="128">
                  <c:v>4.8</c:v>
                </c:pt>
                <c:pt idx="129">
                  <c:v>4.7</c:v>
                </c:pt>
                <c:pt idx="130">
                  <c:v>4.5</c:v>
                </c:pt>
                <c:pt idx="131">
                  <c:v>4.8</c:v>
                </c:pt>
                <c:pt idx="132">
                  <c:v>4.4000000000000004</c:v>
                </c:pt>
                <c:pt idx="133">
                  <c:v>4.5</c:v>
                </c:pt>
                <c:pt idx="134">
                  <c:v>4.5999999999999996</c:v>
                </c:pt>
                <c:pt idx="135">
                  <c:v>4.8</c:v>
                </c:pt>
                <c:pt idx="136">
                  <c:v>4.8</c:v>
                </c:pt>
                <c:pt idx="137">
                  <c:v>4.5</c:v>
                </c:pt>
                <c:pt idx="138">
                  <c:v>4.5999999999999996</c:v>
                </c:pt>
                <c:pt idx="139">
                  <c:v>4.8</c:v>
                </c:pt>
                <c:pt idx="140">
                  <c:v>4.5999999999999996</c:v>
                </c:pt>
                <c:pt idx="141">
                  <c:v>4.7</c:v>
                </c:pt>
                <c:pt idx="142">
                  <c:v>4.8</c:v>
                </c:pt>
                <c:pt idx="143">
                  <c:v>4.7</c:v>
                </c:pt>
                <c:pt idx="144">
                  <c:v>4.7</c:v>
                </c:pt>
                <c:pt idx="145">
                  <c:v>4.5999999999999996</c:v>
                </c:pt>
                <c:pt idx="146">
                  <c:v>4.5</c:v>
                </c:pt>
                <c:pt idx="147">
                  <c:v>4.5999999999999996</c:v>
                </c:pt>
                <c:pt idx="148">
                  <c:v>4.5</c:v>
                </c:pt>
                <c:pt idx="149">
                  <c:v>4.7</c:v>
                </c:pt>
                <c:pt idx="150">
                  <c:v>4.8</c:v>
                </c:pt>
                <c:pt idx="151">
                  <c:v>4.5999999999999996</c:v>
                </c:pt>
                <c:pt idx="152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1-7A49-A753-DC168C7B3D6A}"/>
            </c:ext>
          </c:extLst>
        </c:ser>
        <c:ser>
          <c:idx val="1"/>
          <c:order val="1"/>
          <c:tx>
            <c:v>预测 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Sheet3!$M$2:$M$154</c:f>
              <c:numCache>
                <c:formatCode>General</c:formatCode>
                <c:ptCount val="153"/>
              </c:numCache>
            </c:numRef>
          </c:xVal>
          <c:yVal>
            <c:numRef>
              <c:f>Sheet3!$B$30:$B$182</c:f>
              <c:numCache>
                <c:formatCode>General</c:formatCode>
                <c:ptCount val="153"/>
                <c:pt idx="0">
                  <c:v>4.6925661415751803</c:v>
                </c:pt>
                <c:pt idx="1">
                  <c:v>4.7880448607378501</c:v>
                </c:pt>
                <c:pt idx="2">
                  <c:v>4.50725290629385</c:v>
                </c:pt>
                <c:pt idx="3">
                  <c:v>4.5689678897848998</c:v>
                </c:pt>
                <c:pt idx="4">
                  <c:v>4.5597111689452898</c:v>
                </c:pt>
                <c:pt idx="5">
                  <c:v>4.6467601814980997</c:v>
                </c:pt>
                <c:pt idx="6">
                  <c:v>4.6057236788936198</c:v>
                </c:pt>
                <c:pt idx="7">
                  <c:v>4.5807951095571804</c:v>
                </c:pt>
                <c:pt idx="8">
                  <c:v>4.4092534545583302</c:v>
                </c:pt>
                <c:pt idx="9">
                  <c:v>4.5458148877772304</c:v>
                </c:pt>
                <c:pt idx="10">
                  <c:v>4.6227145501397997</c:v>
                </c:pt>
                <c:pt idx="11">
                  <c:v>4.46571348630368</c:v>
                </c:pt>
                <c:pt idx="12">
                  <c:v>4.5591297990307602</c:v>
                </c:pt>
                <c:pt idx="13">
                  <c:v>4.6768080619372903</c:v>
                </c:pt>
                <c:pt idx="14">
                  <c:v>4.6716343156195803</c:v>
                </c:pt>
                <c:pt idx="15">
                  <c:v>4.61714501570086</c:v>
                </c:pt>
                <c:pt idx="16">
                  <c:v>4.63179974301746</c:v>
                </c:pt>
                <c:pt idx="17">
                  <c:v>4.64691190981803</c:v>
                </c:pt>
                <c:pt idx="18">
                  <c:v>4.56472995845448</c:v>
                </c:pt>
                <c:pt idx="19">
                  <c:v>4.5082181092481699</c:v>
                </c:pt>
                <c:pt idx="20">
                  <c:v>4.5360985765914004</c:v>
                </c:pt>
                <c:pt idx="21">
                  <c:v>4.5932205405165396</c:v>
                </c:pt>
                <c:pt idx="22">
                  <c:v>4.6272468844708596</c:v>
                </c:pt>
                <c:pt idx="23">
                  <c:v>4.5894422055407702</c:v>
                </c:pt>
                <c:pt idx="24">
                  <c:v>4.6110347511322098</c:v>
                </c:pt>
                <c:pt idx="25">
                  <c:v>4.52782350126241</c:v>
                </c:pt>
                <c:pt idx="26">
                  <c:v>4.5166176448186803</c:v>
                </c:pt>
                <c:pt idx="27">
                  <c:v>4.6081246042302801</c:v>
                </c:pt>
                <c:pt idx="28">
                  <c:v>4.5710526779811698</c:v>
                </c:pt>
                <c:pt idx="29">
                  <c:v>4.5791416007651602</c:v>
                </c:pt>
                <c:pt idx="30">
                  <c:v>4.56008034839763</c:v>
                </c:pt>
                <c:pt idx="31">
                  <c:v>4.52149455679334</c:v>
                </c:pt>
                <c:pt idx="32">
                  <c:v>4.4582602241573097</c:v>
                </c:pt>
                <c:pt idx="33">
                  <c:v>4.6074486713946596</c:v>
                </c:pt>
                <c:pt idx="34">
                  <c:v>4.64341531197016</c:v>
                </c:pt>
                <c:pt idx="35">
                  <c:v>4.3824289526504199</c:v>
                </c:pt>
                <c:pt idx="36">
                  <c:v>4.5826590702554499</c:v>
                </c:pt>
                <c:pt idx="37">
                  <c:v>4.5662419244775503</c:v>
                </c:pt>
                <c:pt idx="38">
                  <c:v>4.5794851540324304</c:v>
                </c:pt>
                <c:pt idx="39">
                  <c:v>4.5850718044372103</c:v>
                </c:pt>
                <c:pt idx="40">
                  <c:v>4.6624430554835801</c:v>
                </c:pt>
                <c:pt idx="41">
                  <c:v>4.6453865600413202</c:v>
                </c:pt>
                <c:pt idx="42">
                  <c:v>4.4695351188006098</c:v>
                </c:pt>
                <c:pt idx="43">
                  <c:v>4.5761610081306099</c:v>
                </c:pt>
                <c:pt idx="44">
                  <c:v>4.7179521196916996</c:v>
                </c:pt>
                <c:pt idx="45">
                  <c:v>4.5919113978972099</c:v>
                </c:pt>
                <c:pt idx="46">
                  <c:v>4.4838354720914104</c:v>
                </c:pt>
                <c:pt idx="47">
                  <c:v>4.6444882193281796</c:v>
                </c:pt>
                <c:pt idx="48">
                  <c:v>4.6194113359849798</c:v>
                </c:pt>
                <c:pt idx="49">
                  <c:v>4.5971571981004304</c:v>
                </c:pt>
                <c:pt idx="50">
                  <c:v>4.57495085024029</c:v>
                </c:pt>
                <c:pt idx="51">
                  <c:v>4.5180473334633904</c:v>
                </c:pt>
                <c:pt idx="52">
                  <c:v>4.4086561638790904</c:v>
                </c:pt>
                <c:pt idx="53">
                  <c:v>4.5973899214492704</c:v>
                </c:pt>
                <c:pt idx="54">
                  <c:v>4.3816692711251104</c:v>
                </c:pt>
                <c:pt idx="55">
                  <c:v>4.4833617362194902</c:v>
                </c:pt>
                <c:pt idx="56">
                  <c:v>4.6340197479728502</c:v>
                </c:pt>
                <c:pt idx="57">
                  <c:v>4.65078646964536</c:v>
                </c:pt>
                <c:pt idx="58">
                  <c:v>4.5357728508151904</c:v>
                </c:pt>
                <c:pt idx="59">
                  <c:v>4.5427877257396796</c:v>
                </c:pt>
                <c:pt idx="60">
                  <c:v>4.6178830207067403</c:v>
                </c:pt>
                <c:pt idx="61">
                  <c:v>4.6079688176546396</c:v>
                </c:pt>
                <c:pt idx="62">
                  <c:v>4.5580589201152399</c:v>
                </c:pt>
                <c:pt idx="63">
                  <c:v>4.6183579344736101</c:v>
                </c:pt>
                <c:pt idx="64">
                  <c:v>4.6154872197524304</c:v>
                </c:pt>
                <c:pt idx="65">
                  <c:v>4.5878363159685396</c:v>
                </c:pt>
                <c:pt idx="66">
                  <c:v>4.6486626278413201</c:v>
                </c:pt>
                <c:pt idx="67">
                  <c:v>4.3199200193028604</c:v>
                </c:pt>
                <c:pt idx="68">
                  <c:v>4.5806491575582298</c:v>
                </c:pt>
                <c:pt idx="69">
                  <c:v>4.6523331879240599</c:v>
                </c:pt>
                <c:pt idx="70">
                  <c:v>4.5709216988878199</c:v>
                </c:pt>
                <c:pt idx="71">
                  <c:v>4.6609491700467904</c:v>
                </c:pt>
                <c:pt idx="72">
                  <c:v>4.60971160538611</c:v>
                </c:pt>
                <c:pt idx="73">
                  <c:v>4.5634296893647504</c:v>
                </c:pt>
                <c:pt idx="74">
                  <c:v>4.5096374375362203</c:v>
                </c:pt>
                <c:pt idx="75">
                  <c:v>4.63074198791226</c:v>
                </c:pt>
                <c:pt idx="76">
                  <c:v>4.6355940667916196</c:v>
                </c:pt>
                <c:pt idx="77">
                  <c:v>4.5309507181046396</c:v>
                </c:pt>
                <c:pt idx="78">
                  <c:v>4.6305370760745204</c:v>
                </c:pt>
                <c:pt idx="79">
                  <c:v>4.6114447281046997</c:v>
                </c:pt>
                <c:pt idx="80">
                  <c:v>4.60313193721551</c:v>
                </c:pt>
                <c:pt idx="81">
                  <c:v>4.6279142012957397</c:v>
                </c:pt>
                <c:pt idx="82">
                  <c:v>4.6008834621645001</c:v>
                </c:pt>
                <c:pt idx="83">
                  <c:v>4.52688422784402</c:v>
                </c:pt>
                <c:pt idx="84">
                  <c:v>4.6124963724399803</c:v>
                </c:pt>
                <c:pt idx="85">
                  <c:v>4.6064147992925601</c:v>
                </c:pt>
                <c:pt idx="86">
                  <c:v>4.5885343597672099</c:v>
                </c:pt>
                <c:pt idx="87">
                  <c:v>4.5897676429227801</c:v>
                </c:pt>
                <c:pt idx="88">
                  <c:v>4.6180448535282297</c:v>
                </c:pt>
                <c:pt idx="89">
                  <c:v>4.6304172850433396</c:v>
                </c:pt>
                <c:pt idx="90">
                  <c:v>4.6223511649976103</c:v>
                </c:pt>
                <c:pt idx="91">
                  <c:v>4.5839592742686701</c:v>
                </c:pt>
                <c:pt idx="92">
                  <c:v>4.5806357609755999</c:v>
                </c:pt>
                <c:pt idx="93">
                  <c:v>4.6527140646963003</c:v>
                </c:pt>
                <c:pt idx="94">
                  <c:v>4.5977138531387798</c:v>
                </c:pt>
                <c:pt idx="95">
                  <c:v>4.5781149424193099</c:v>
                </c:pt>
                <c:pt idx="96">
                  <c:v>4.58367833955867</c:v>
                </c:pt>
                <c:pt idx="97">
                  <c:v>4.6497580649243497</c:v>
                </c:pt>
                <c:pt idx="98">
                  <c:v>4.5980234394937103</c:v>
                </c:pt>
                <c:pt idx="99">
                  <c:v>4.6182555278675599</c:v>
                </c:pt>
                <c:pt idx="100">
                  <c:v>4.6151953144388598</c:v>
                </c:pt>
                <c:pt idx="101">
                  <c:v>4.5377745666129803</c:v>
                </c:pt>
                <c:pt idx="102">
                  <c:v>4.5994687940819396</c:v>
                </c:pt>
                <c:pt idx="103">
                  <c:v>4.5814739031588196</c:v>
                </c:pt>
                <c:pt idx="104">
                  <c:v>4.4650248889704303</c:v>
                </c:pt>
                <c:pt idx="105">
                  <c:v>4.5477419429305499</c:v>
                </c:pt>
                <c:pt idx="106">
                  <c:v>4.5898366368475498</c:v>
                </c:pt>
                <c:pt idx="107">
                  <c:v>4.5721982876686598</c:v>
                </c:pt>
                <c:pt idx="108">
                  <c:v>4.6163766784977902</c:v>
                </c:pt>
                <c:pt idx="109">
                  <c:v>4.6861085051212701</c:v>
                </c:pt>
                <c:pt idx="110">
                  <c:v>4.5566218946079804</c:v>
                </c:pt>
                <c:pt idx="111">
                  <c:v>4.6419137920790501</c:v>
                </c:pt>
                <c:pt idx="112">
                  <c:v>4.6045690427628898</c:v>
                </c:pt>
                <c:pt idx="113">
                  <c:v>4.6247382226276201</c:v>
                </c:pt>
                <c:pt idx="114">
                  <c:v>4.6032431596046797</c:v>
                </c:pt>
                <c:pt idx="115">
                  <c:v>4.5824643299362</c:v>
                </c:pt>
                <c:pt idx="116">
                  <c:v>4.6319543176428004</c:v>
                </c:pt>
                <c:pt idx="117">
                  <c:v>4.6477915545291504</c:v>
                </c:pt>
                <c:pt idx="118">
                  <c:v>4.6302408540082096</c:v>
                </c:pt>
                <c:pt idx="119">
                  <c:v>4.6276006996547503</c:v>
                </c:pt>
                <c:pt idx="120">
                  <c:v>4.6426357414247503</c:v>
                </c:pt>
                <c:pt idx="121">
                  <c:v>4.6256879945839096</c:v>
                </c:pt>
                <c:pt idx="122">
                  <c:v>4.5780315379638896</c:v>
                </c:pt>
                <c:pt idx="123">
                  <c:v>4.5425264640081702</c:v>
                </c:pt>
                <c:pt idx="124">
                  <c:v>4.6732914771467904</c:v>
                </c:pt>
                <c:pt idx="125">
                  <c:v>4.5309085151768898</c:v>
                </c:pt>
                <c:pt idx="126">
                  <c:v>4.6429942343371504</c:v>
                </c:pt>
                <c:pt idx="127">
                  <c:v>4.6400850872273498</c:v>
                </c:pt>
                <c:pt idx="128">
                  <c:v>4.6377969340684997</c:v>
                </c:pt>
                <c:pt idx="129">
                  <c:v>4.6011907837054</c:v>
                </c:pt>
                <c:pt idx="130">
                  <c:v>4.6117884984702098</c:v>
                </c:pt>
                <c:pt idx="131">
                  <c:v>4.6337525341810499</c:v>
                </c:pt>
                <c:pt idx="132">
                  <c:v>4.6161639278165101</c:v>
                </c:pt>
                <c:pt idx="133">
                  <c:v>4.6188317824313501</c:v>
                </c:pt>
                <c:pt idx="134">
                  <c:v>4.6524072766075504</c:v>
                </c:pt>
                <c:pt idx="135">
                  <c:v>4.7240257534246304</c:v>
                </c:pt>
                <c:pt idx="136">
                  <c:v>4.6292420841871698</c:v>
                </c:pt>
                <c:pt idx="137">
                  <c:v>4.6054204753424104</c:v>
                </c:pt>
                <c:pt idx="138">
                  <c:v>4.5294523550191803</c:v>
                </c:pt>
                <c:pt idx="139">
                  <c:v>4.60846888349419</c:v>
                </c:pt>
                <c:pt idx="140">
                  <c:v>4.5750065799055504</c:v>
                </c:pt>
                <c:pt idx="141">
                  <c:v>4.8146400656711501</c:v>
                </c:pt>
                <c:pt idx="142">
                  <c:v>4.5948166755202804</c:v>
                </c:pt>
                <c:pt idx="143">
                  <c:v>4.5341754400480898</c:v>
                </c:pt>
                <c:pt idx="144">
                  <c:v>4.6006276219551596</c:v>
                </c:pt>
                <c:pt idx="145">
                  <c:v>4.6246258010353296</c:v>
                </c:pt>
                <c:pt idx="146">
                  <c:v>4.3921644892559</c:v>
                </c:pt>
                <c:pt idx="147">
                  <c:v>4.4944462849448898</c:v>
                </c:pt>
                <c:pt idx="148">
                  <c:v>4.5274572033298996</c:v>
                </c:pt>
                <c:pt idx="149">
                  <c:v>4.6214467745576604</c:v>
                </c:pt>
                <c:pt idx="150">
                  <c:v>4.5874674326926597</c:v>
                </c:pt>
                <c:pt idx="151">
                  <c:v>4.6083028134685797</c:v>
                </c:pt>
                <c:pt idx="152">
                  <c:v>4.5352063269875602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41-7A49-A753-DC168C7B3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953888"/>
        <c:axId val="1869955616"/>
      </c:scatterChart>
      <c:valAx>
        <c:axId val="18699538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年度星级商户次数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9955616"/>
        <c:crosses val="autoZero"/>
        <c:crossBetween val="midCat"/>
      </c:valAx>
      <c:valAx>
        <c:axId val="186995561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总评分 </a:t>
                </a:r>
                <a:r>
                  <a:rPr lang="en-US" altLang="zh-CN"/>
                  <a:t>Total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9953888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同城分店 </a:t>
            </a:r>
            <a:r>
              <a:rPr lang="en-US" altLang="zh-CN"/>
              <a:t>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Sheet3!$N$2:$N$154</c:f>
              <c:numCache>
                <c:formatCode>General</c:formatCode>
                <c:ptCount val="153"/>
              </c:numCache>
            </c:numRef>
          </c:xVal>
          <c:yVal>
            <c:numRef>
              <c:f>Sheet1!$F$2:$F$154</c:f>
              <c:numCache>
                <c:formatCode>General</c:formatCode>
                <c:ptCount val="153"/>
                <c:pt idx="0">
                  <c:v>4.5</c:v>
                </c:pt>
                <c:pt idx="1">
                  <c:v>4.8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4.4000000000000004</c:v>
                </c:pt>
                <c:pt idx="5">
                  <c:v>4.8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4.3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4.8</c:v>
                </c:pt>
                <c:pt idx="15">
                  <c:v>4.3</c:v>
                </c:pt>
                <c:pt idx="16">
                  <c:v>4.7</c:v>
                </c:pt>
                <c:pt idx="17">
                  <c:v>4.7</c:v>
                </c:pt>
                <c:pt idx="18">
                  <c:v>4.4000000000000004</c:v>
                </c:pt>
                <c:pt idx="19">
                  <c:v>4.0999999999999996</c:v>
                </c:pt>
                <c:pt idx="20">
                  <c:v>4.3</c:v>
                </c:pt>
                <c:pt idx="21">
                  <c:v>4.5</c:v>
                </c:pt>
                <c:pt idx="22">
                  <c:v>4.8</c:v>
                </c:pt>
                <c:pt idx="23">
                  <c:v>4.7</c:v>
                </c:pt>
                <c:pt idx="24">
                  <c:v>4.3</c:v>
                </c:pt>
                <c:pt idx="25">
                  <c:v>4.3</c:v>
                </c:pt>
                <c:pt idx="26">
                  <c:v>4.5999999999999996</c:v>
                </c:pt>
                <c:pt idx="27">
                  <c:v>4.5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4.5999999999999996</c:v>
                </c:pt>
                <c:pt idx="33">
                  <c:v>4.8</c:v>
                </c:pt>
                <c:pt idx="34">
                  <c:v>4.7</c:v>
                </c:pt>
                <c:pt idx="35">
                  <c:v>4.3</c:v>
                </c:pt>
                <c:pt idx="36">
                  <c:v>4.4000000000000004</c:v>
                </c:pt>
                <c:pt idx="37">
                  <c:v>4.0999999999999996</c:v>
                </c:pt>
                <c:pt idx="38">
                  <c:v>4.9000000000000004</c:v>
                </c:pt>
                <c:pt idx="39">
                  <c:v>4.0999999999999996</c:v>
                </c:pt>
                <c:pt idx="40">
                  <c:v>4.7</c:v>
                </c:pt>
                <c:pt idx="41">
                  <c:v>4.5999999999999996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4.4000000000000004</c:v>
                </c:pt>
                <c:pt idx="50">
                  <c:v>4.5999999999999996</c:v>
                </c:pt>
                <c:pt idx="51">
                  <c:v>4.4000000000000004</c:v>
                </c:pt>
                <c:pt idx="52">
                  <c:v>4.5</c:v>
                </c:pt>
                <c:pt idx="53">
                  <c:v>4.5999999999999996</c:v>
                </c:pt>
                <c:pt idx="54">
                  <c:v>4.4000000000000004</c:v>
                </c:pt>
                <c:pt idx="55">
                  <c:v>4</c:v>
                </c:pt>
                <c:pt idx="56">
                  <c:v>4.8</c:v>
                </c:pt>
                <c:pt idx="57">
                  <c:v>4.8</c:v>
                </c:pt>
                <c:pt idx="58">
                  <c:v>4.5</c:v>
                </c:pt>
                <c:pt idx="59">
                  <c:v>4.5</c:v>
                </c:pt>
                <c:pt idx="60">
                  <c:v>4.4000000000000004</c:v>
                </c:pt>
                <c:pt idx="61">
                  <c:v>4.8</c:v>
                </c:pt>
                <c:pt idx="62">
                  <c:v>4.5</c:v>
                </c:pt>
                <c:pt idx="63">
                  <c:v>4.5</c:v>
                </c:pt>
                <c:pt idx="64">
                  <c:v>4.8</c:v>
                </c:pt>
                <c:pt idx="65">
                  <c:v>4.7</c:v>
                </c:pt>
                <c:pt idx="66">
                  <c:v>4.9000000000000004</c:v>
                </c:pt>
                <c:pt idx="67">
                  <c:v>4.5</c:v>
                </c:pt>
                <c:pt idx="68">
                  <c:v>4.8</c:v>
                </c:pt>
                <c:pt idx="69">
                  <c:v>4.8</c:v>
                </c:pt>
                <c:pt idx="70">
                  <c:v>4.7</c:v>
                </c:pt>
                <c:pt idx="71">
                  <c:v>4.4000000000000004</c:v>
                </c:pt>
                <c:pt idx="72">
                  <c:v>4.8</c:v>
                </c:pt>
                <c:pt idx="73">
                  <c:v>4.2</c:v>
                </c:pt>
                <c:pt idx="74">
                  <c:v>4.4000000000000004</c:v>
                </c:pt>
                <c:pt idx="75">
                  <c:v>4.7</c:v>
                </c:pt>
                <c:pt idx="76">
                  <c:v>4.7</c:v>
                </c:pt>
                <c:pt idx="77">
                  <c:v>4.3</c:v>
                </c:pt>
                <c:pt idx="78">
                  <c:v>4.5</c:v>
                </c:pt>
                <c:pt idx="79">
                  <c:v>4.4000000000000004</c:v>
                </c:pt>
                <c:pt idx="80">
                  <c:v>4.8</c:v>
                </c:pt>
                <c:pt idx="81">
                  <c:v>4.7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4.5999999999999996</c:v>
                </c:pt>
                <c:pt idx="85">
                  <c:v>4.9000000000000004</c:v>
                </c:pt>
                <c:pt idx="86">
                  <c:v>4.5</c:v>
                </c:pt>
                <c:pt idx="87">
                  <c:v>4.5999999999999996</c:v>
                </c:pt>
                <c:pt idx="88">
                  <c:v>4.5</c:v>
                </c:pt>
                <c:pt idx="89">
                  <c:v>4.5</c:v>
                </c:pt>
                <c:pt idx="90">
                  <c:v>4.5999999999999996</c:v>
                </c:pt>
                <c:pt idx="91">
                  <c:v>4.8</c:v>
                </c:pt>
                <c:pt idx="92">
                  <c:v>4.8</c:v>
                </c:pt>
                <c:pt idx="93">
                  <c:v>4.8</c:v>
                </c:pt>
                <c:pt idx="94">
                  <c:v>4.5</c:v>
                </c:pt>
                <c:pt idx="95">
                  <c:v>4.8</c:v>
                </c:pt>
                <c:pt idx="96">
                  <c:v>4.5</c:v>
                </c:pt>
                <c:pt idx="97">
                  <c:v>4.7</c:v>
                </c:pt>
                <c:pt idx="98">
                  <c:v>4.8</c:v>
                </c:pt>
                <c:pt idx="99">
                  <c:v>4.5999999999999996</c:v>
                </c:pt>
                <c:pt idx="100">
                  <c:v>4.4000000000000004</c:v>
                </c:pt>
                <c:pt idx="101">
                  <c:v>4.4000000000000004</c:v>
                </c:pt>
                <c:pt idx="102">
                  <c:v>4.7</c:v>
                </c:pt>
                <c:pt idx="103">
                  <c:v>4.3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4.5999999999999996</c:v>
                </c:pt>
                <c:pt idx="108">
                  <c:v>4.3</c:v>
                </c:pt>
                <c:pt idx="109">
                  <c:v>4.7</c:v>
                </c:pt>
                <c:pt idx="110">
                  <c:v>4.8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4.8</c:v>
                </c:pt>
                <c:pt idx="114">
                  <c:v>4.8</c:v>
                </c:pt>
                <c:pt idx="115">
                  <c:v>4.7</c:v>
                </c:pt>
                <c:pt idx="116">
                  <c:v>4.7</c:v>
                </c:pt>
                <c:pt idx="117">
                  <c:v>4.3</c:v>
                </c:pt>
                <c:pt idx="118">
                  <c:v>4.5999999999999996</c:v>
                </c:pt>
                <c:pt idx="119">
                  <c:v>4.4000000000000004</c:v>
                </c:pt>
                <c:pt idx="120">
                  <c:v>4.8</c:v>
                </c:pt>
                <c:pt idx="121">
                  <c:v>4.7</c:v>
                </c:pt>
                <c:pt idx="122">
                  <c:v>4.7</c:v>
                </c:pt>
                <c:pt idx="123">
                  <c:v>4.5999999999999996</c:v>
                </c:pt>
                <c:pt idx="124">
                  <c:v>4.5999999999999996</c:v>
                </c:pt>
                <c:pt idx="125">
                  <c:v>4.7</c:v>
                </c:pt>
                <c:pt idx="126">
                  <c:v>4.7</c:v>
                </c:pt>
                <c:pt idx="127">
                  <c:v>4.7</c:v>
                </c:pt>
                <c:pt idx="128">
                  <c:v>4.8</c:v>
                </c:pt>
                <c:pt idx="129">
                  <c:v>4.7</c:v>
                </c:pt>
                <c:pt idx="130">
                  <c:v>4.5</c:v>
                </c:pt>
                <c:pt idx="131">
                  <c:v>4.8</c:v>
                </c:pt>
                <c:pt idx="132">
                  <c:v>4.4000000000000004</c:v>
                </c:pt>
                <c:pt idx="133">
                  <c:v>4.5</c:v>
                </c:pt>
                <c:pt idx="134">
                  <c:v>4.5999999999999996</c:v>
                </c:pt>
                <c:pt idx="135">
                  <c:v>4.8</c:v>
                </c:pt>
                <c:pt idx="136">
                  <c:v>4.8</c:v>
                </c:pt>
                <c:pt idx="137">
                  <c:v>4.5</c:v>
                </c:pt>
                <c:pt idx="138">
                  <c:v>4.5999999999999996</c:v>
                </c:pt>
                <c:pt idx="139">
                  <c:v>4.8</c:v>
                </c:pt>
                <c:pt idx="140">
                  <c:v>4.5999999999999996</c:v>
                </c:pt>
                <c:pt idx="141">
                  <c:v>4.7</c:v>
                </c:pt>
                <c:pt idx="142">
                  <c:v>4.8</c:v>
                </c:pt>
                <c:pt idx="143">
                  <c:v>4.7</c:v>
                </c:pt>
                <c:pt idx="144">
                  <c:v>4.7</c:v>
                </c:pt>
                <c:pt idx="145">
                  <c:v>4.5999999999999996</c:v>
                </c:pt>
                <c:pt idx="146">
                  <c:v>4.5</c:v>
                </c:pt>
                <c:pt idx="147">
                  <c:v>4.5999999999999996</c:v>
                </c:pt>
                <c:pt idx="148">
                  <c:v>4.5</c:v>
                </c:pt>
                <c:pt idx="149">
                  <c:v>4.7</c:v>
                </c:pt>
                <c:pt idx="150">
                  <c:v>4.8</c:v>
                </c:pt>
                <c:pt idx="151">
                  <c:v>4.5999999999999996</c:v>
                </c:pt>
                <c:pt idx="152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C-3644-8F44-F895473C6B3D}"/>
            </c:ext>
          </c:extLst>
        </c:ser>
        <c:ser>
          <c:idx val="1"/>
          <c:order val="1"/>
          <c:tx>
            <c:v>预测 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Sheet3!$N$2:$N$154</c:f>
              <c:numCache>
                <c:formatCode>General</c:formatCode>
                <c:ptCount val="153"/>
              </c:numCache>
            </c:numRef>
          </c:xVal>
          <c:yVal>
            <c:numRef>
              <c:f>Sheet3!$B$30:$B$182</c:f>
              <c:numCache>
                <c:formatCode>General</c:formatCode>
                <c:ptCount val="153"/>
                <c:pt idx="0">
                  <c:v>4.6925661415751803</c:v>
                </c:pt>
                <c:pt idx="1">
                  <c:v>4.7880448607378501</c:v>
                </c:pt>
                <c:pt idx="2">
                  <c:v>4.50725290629385</c:v>
                </c:pt>
                <c:pt idx="3">
                  <c:v>4.5689678897848998</c:v>
                </c:pt>
                <c:pt idx="4">
                  <c:v>4.5597111689452898</c:v>
                </c:pt>
                <c:pt idx="5">
                  <c:v>4.6467601814980997</c:v>
                </c:pt>
                <c:pt idx="6">
                  <c:v>4.6057236788936198</c:v>
                </c:pt>
                <c:pt idx="7">
                  <c:v>4.5807951095571804</c:v>
                </c:pt>
                <c:pt idx="8">
                  <c:v>4.4092534545583302</c:v>
                </c:pt>
                <c:pt idx="9">
                  <c:v>4.5458148877772304</c:v>
                </c:pt>
                <c:pt idx="10">
                  <c:v>4.6227145501397997</c:v>
                </c:pt>
                <c:pt idx="11">
                  <c:v>4.46571348630368</c:v>
                </c:pt>
                <c:pt idx="12">
                  <c:v>4.5591297990307602</c:v>
                </c:pt>
                <c:pt idx="13">
                  <c:v>4.6768080619372903</c:v>
                </c:pt>
                <c:pt idx="14">
                  <c:v>4.6716343156195803</c:v>
                </c:pt>
                <c:pt idx="15">
                  <c:v>4.61714501570086</c:v>
                </c:pt>
                <c:pt idx="16">
                  <c:v>4.63179974301746</c:v>
                </c:pt>
                <c:pt idx="17">
                  <c:v>4.64691190981803</c:v>
                </c:pt>
                <c:pt idx="18">
                  <c:v>4.56472995845448</c:v>
                </c:pt>
                <c:pt idx="19">
                  <c:v>4.5082181092481699</c:v>
                </c:pt>
                <c:pt idx="20">
                  <c:v>4.5360985765914004</c:v>
                </c:pt>
                <c:pt idx="21">
                  <c:v>4.5932205405165396</c:v>
                </c:pt>
                <c:pt idx="22">
                  <c:v>4.6272468844708596</c:v>
                </c:pt>
                <c:pt idx="23">
                  <c:v>4.5894422055407702</c:v>
                </c:pt>
                <c:pt idx="24">
                  <c:v>4.6110347511322098</c:v>
                </c:pt>
                <c:pt idx="25">
                  <c:v>4.52782350126241</c:v>
                </c:pt>
                <c:pt idx="26">
                  <c:v>4.5166176448186803</c:v>
                </c:pt>
                <c:pt idx="27">
                  <c:v>4.6081246042302801</c:v>
                </c:pt>
                <c:pt idx="28">
                  <c:v>4.5710526779811698</c:v>
                </c:pt>
                <c:pt idx="29">
                  <c:v>4.5791416007651602</c:v>
                </c:pt>
                <c:pt idx="30">
                  <c:v>4.56008034839763</c:v>
                </c:pt>
                <c:pt idx="31">
                  <c:v>4.52149455679334</c:v>
                </c:pt>
                <c:pt idx="32">
                  <c:v>4.4582602241573097</c:v>
                </c:pt>
                <c:pt idx="33">
                  <c:v>4.6074486713946596</c:v>
                </c:pt>
                <c:pt idx="34">
                  <c:v>4.64341531197016</c:v>
                </c:pt>
                <c:pt idx="35">
                  <c:v>4.3824289526504199</c:v>
                </c:pt>
                <c:pt idx="36">
                  <c:v>4.5826590702554499</c:v>
                </c:pt>
                <c:pt idx="37">
                  <c:v>4.5662419244775503</c:v>
                </c:pt>
                <c:pt idx="38">
                  <c:v>4.5794851540324304</c:v>
                </c:pt>
                <c:pt idx="39">
                  <c:v>4.5850718044372103</c:v>
                </c:pt>
                <c:pt idx="40">
                  <c:v>4.6624430554835801</c:v>
                </c:pt>
                <c:pt idx="41">
                  <c:v>4.6453865600413202</c:v>
                </c:pt>
                <c:pt idx="42">
                  <c:v>4.4695351188006098</c:v>
                </c:pt>
                <c:pt idx="43">
                  <c:v>4.5761610081306099</c:v>
                </c:pt>
                <c:pt idx="44">
                  <c:v>4.7179521196916996</c:v>
                </c:pt>
                <c:pt idx="45">
                  <c:v>4.5919113978972099</c:v>
                </c:pt>
                <c:pt idx="46">
                  <c:v>4.4838354720914104</c:v>
                </c:pt>
                <c:pt idx="47">
                  <c:v>4.6444882193281796</c:v>
                </c:pt>
                <c:pt idx="48">
                  <c:v>4.6194113359849798</c:v>
                </c:pt>
                <c:pt idx="49">
                  <c:v>4.5971571981004304</c:v>
                </c:pt>
                <c:pt idx="50">
                  <c:v>4.57495085024029</c:v>
                </c:pt>
                <c:pt idx="51">
                  <c:v>4.5180473334633904</c:v>
                </c:pt>
                <c:pt idx="52">
                  <c:v>4.4086561638790904</c:v>
                </c:pt>
                <c:pt idx="53">
                  <c:v>4.5973899214492704</c:v>
                </c:pt>
                <c:pt idx="54">
                  <c:v>4.3816692711251104</c:v>
                </c:pt>
                <c:pt idx="55">
                  <c:v>4.4833617362194902</c:v>
                </c:pt>
                <c:pt idx="56">
                  <c:v>4.6340197479728502</c:v>
                </c:pt>
                <c:pt idx="57">
                  <c:v>4.65078646964536</c:v>
                </c:pt>
                <c:pt idx="58">
                  <c:v>4.5357728508151904</c:v>
                </c:pt>
                <c:pt idx="59">
                  <c:v>4.5427877257396796</c:v>
                </c:pt>
                <c:pt idx="60">
                  <c:v>4.6178830207067403</c:v>
                </c:pt>
                <c:pt idx="61">
                  <c:v>4.6079688176546396</c:v>
                </c:pt>
                <c:pt idx="62">
                  <c:v>4.5580589201152399</c:v>
                </c:pt>
                <c:pt idx="63">
                  <c:v>4.6183579344736101</c:v>
                </c:pt>
                <c:pt idx="64">
                  <c:v>4.6154872197524304</c:v>
                </c:pt>
                <c:pt idx="65">
                  <c:v>4.5878363159685396</c:v>
                </c:pt>
                <c:pt idx="66">
                  <c:v>4.6486626278413201</c:v>
                </c:pt>
                <c:pt idx="67">
                  <c:v>4.3199200193028604</c:v>
                </c:pt>
                <c:pt idx="68">
                  <c:v>4.5806491575582298</c:v>
                </c:pt>
                <c:pt idx="69">
                  <c:v>4.6523331879240599</c:v>
                </c:pt>
                <c:pt idx="70">
                  <c:v>4.5709216988878199</c:v>
                </c:pt>
                <c:pt idx="71">
                  <c:v>4.6609491700467904</c:v>
                </c:pt>
                <c:pt idx="72">
                  <c:v>4.60971160538611</c:v>
                </c:pt>
                <c:pt idx="73">
                  <c:v>4.5634296893647504</c:v>
                </c:pt>
                <c:pt idx="74">
                  <c:v>4.5096374375362203</c:v>
                </c:pt>
                <c:pt idx="75">
                  <c:v>4.63074198791226</c:v>
                </c:pt>
                <c:pt idx="76">
                  <c:v>4.6355940667916196</c:v>
                </c:pt>
                <c:pt idx="77">
                  <c:v>4.5309507181046396</c:v>
                </c:pt>
                <c:pt idx="78">
                  <c:v>4.6305370760745204</c:v>
                </c:pt>
                <c:pt idx="79">
                  <c:v>4.6114447281046997</c:v>
                </c:pt>
                <c:pt idx="80">
                  <c:v>4.60313193721551</c:v>
                </c:pt>
                <c:pt idx="81">
                  <c:v>4.6279142012957397</c:v>
                </c:pt>
                <c:pt idx="82">
                  <c:v>4.6008834621645001</c:v>
                </c:pt>
                <c:pt idx="83">
                  <c:v>4.52688422784402</c:v>
                </c:pt>
                <c:pt idx="84">
                  <c:v>4.6124963724399803</c:v>
                </c:pt>
                <c:pt idx="85">
                  <c:v>4.6064147992925601</c:v>
                </c:pt>
                <c:pt idx="86">
                  <c:v>4.5885343597672099</c:v>
                </c:pt>
                <c:pt idx="87">
                  <c:v>4.5897676429227801</c:v>
                </c:pt>
                <c:pt idx="88">
                  <c:v>4.6180448535282297</c:v>
                </c:pt>
                <c:pt idx="89">
                  <c:v>4.6304172850433396</c:v>
                </c:pt>
                <c:pt idx="90">
                  <c:v>4.6223511649976103</c:v>
                </c:pt>
                <c:pt idx="91">
                  <c:v>4.5839592742686701</c:v>
                </c:pt>
                <c:pt idx="92">
                  <c:v>4.5806357609755999</c:v>
                </c:pt>
                <c:pt idx="93">
                  <c:v>4.6527140646963003</c:v>
                </c:pt>
                <c:pt idx="94">
                  <c:v>4.5977138531387798</c:v>
                </c:pt>
                <c:pt idx="95">
                  <c:v>4.5781149424193099</c:v>
                </c:pt>
                <c:pt idx="96">
                  <c:v>4.58367833955867</c:v>
                </c:pt>
                <c:pt idx="97">
                  <c:v>4.6497580649243497</c:v>
                </c:pt>
                <c:pt idx="98">
                  <c:v>4.5980234394937103</c:v>
                </c:pt>
                <c:pt idx="99">
                  <c:v>4.6182555278675599</c:v>
                </c:pt>
                <c:pt idx="100">
                  <c:v>4.6151953144388598</c:v>
                </c:pt>
                <c:pt idx="101">
                  <c:v>4.5377745666129803</c:v>
                </c:pt>
                <c:pt idx="102">
                  <c:v>4.5994687940819396</c:v>
                </c:pt>
                <c:pt idx="103">
                  <c:v>4.5814739031588196</c:v>
                </c:pt>
                <c:pt idx="104">
                  <c:v>4.4650248889704303</c:v>
                </c:pt>
                <c:pt idx="105">
                  <c:v>4.5477419429305499</c:v>
                </c:pt>
                <c:pt idx="106">
                  <c:v>4.5898366368475498</c:v>
                </c:pt>
                <c:pt idx="107">
                  <c:v>4.5721982876686598</c:v>
                </c:pt>
                <c:pt idx="108">
                  <c:v>4.6163766784977902</c:v>
                </c:pt>
                <c:pt idx="109">
                  <c:v>4.6861085051212701</c:v>
                </c:pt>
                <c:pt idx="110">
                  <c:v>4.5566218946079804</c:v>
                </c:pt>
                <c:pt idx="111">
                  <c:v>4.6419137920790501</c:v>
                </c:pt>
                <c:pt idx="112">
                  <c:v>4.6045690427628898</c:v>
                </c:pt>
                <c:pt idx="113">
                  <c:v>4.6247382226276201</c:v>
                </c:pt>
                <c:pt idx="114">
                  <c:v>4.6032431596046797</c:v>
                </c:pt>
                <c:pt idx="115">
                  <c:v>4.5824643299362</c:v>
                </c:pt>
                <c:pt idx="116">
                  <c:v>4.6319543176428004</c:v>
                </c:pt>
                <c:pt idx="117">
                  <c:v>4.6477915545291504</c:v>
                </c:pt>
                <c:pt idx="118">
                  <c:v>4.6302408540082096</c:v>
                </c:pt>
                <c:pt idx="119">
                  <c:v>4.6276006996547503</c:v>
                </c:pt>
                <c:pt idx="120">
                  <c:v>4.6426357414247503</c:v>
                </c:pt>
                <c:pt idx="121">
                  <c:v>4.6256879945839096</c:v>
                </c:pt>
                <c:pt idx="122">
                  <c:v>4.5780315379638896</c:v>
                </c:pt>
                <c:pt idx="123">
                  <c:v>4.5425264640081702</c:v>
                </c:pt>
                <c:pt idx="124">
                  <c:v>4.6732914771467904</c:v>
                </c:pt>
                <c:pt idx="125">
                  <c:v>4.5309085151768898</c:v>
                </c:pt>
                <c:pt idx="126">
                  <c:v>4.6429942343371504</c:v>
                </c:pt>
                <c:pt idx="127">
                  <c:v>4.6400850872273498</c:v>
                </c:pt>
                <c:pt idx="128">
                  <c:v>4.6377969340684997</c:v>
                </c:pt>
                <c:pt idx="129">
                  <c:v>4.6011907837054</c:v>
                </c:pt>
                <c:pt idx="130">
                  <c:v>4.6117884984702098</c:v>
                </c:pt>
                <c:pt idx="131">
                  <c:v>4.6337525341810499</c:v>
                </c:pt>
                <c:pt idx="132">
                  <c:v>4.6161639278165101</c:v>
                </c:pt>
                <c:pt idx="133">
                  <c:v>4.6188317824313501</c:v>
                </c:pt>
                <c:pt idx="134">
                  <c:v>4.6524072766075504</c:v>
                </c:pt>
                <c:pt idx="135">
                  <c:v>4.7240257534246304</c:v>
                </c:pt>
                <c:pt idx="136">
                  <c:v>4.6292420841871698</c:v>
                </c:pt>
                <c:pt idx="137">
                  <c:v>4.6054204753424104</c:v>
                </c:pt>
                <c:pt idx="138">
                  <c:v>4.5294523550191803</c:v>
                </c:pt>
                <c:pt idx="139">
                  <c:v>4.60846888349419</c:v>
                </c:pt>
                <c:pt idx="140">
                  <c:v>4.5750065799055504</c:v>
                </c:pt>
                <c:pt idx="141">
                  <c:v>4.8146400656711501</c:v>
                </c:pt>
                <c:pt idx="142">
                  <c:v>4.5948166755202804</c:v>
                </c:pt>
                <c:pt idx="143">
                  <c:v>4.5341754400480898</c:v>
                </c:pt>
                <c:pt idx="144">
                  <c:v>4.6006276219551596</c:v>
                </c:pt>
                <c:pt idx="145">
                  <c:v>4.6246258010353296</c:v>
                </c:pt>
                <c:pt idx="146">
                  <c:v>4.3921644892559</c:v>
                </c:pt>
                <c:pt idx="147">
                  <c:v>4.4944462849448898</c:v>
                </c:pt>
                <c:pt idx="148">
                  <c:v>4.5274572033298996</c:v>
                </c:pt>
                <c:pt idx="149">
                  <c:v>4.6214467745576604</c:v>
                </c:pt>
                <c:pt idx="150">
                  <c:v>4.5874674326926597</c:v>
                </c:pt>
                <c:pt idx="151">
                  <c:v>4.6083028134685797</c:v>
                </c:pt>
                <c:pt idx="152">
                  <c:v>4.5352063269875602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7C-3644-8F44-F895473C6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608400"/>
        <c:axId val="1870609888"/>
      </c:scatterChart>
      <c:valAx>
        <c:axId val="18706084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同城分店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0609888"/>
        <c:crosses val="autoZero"/>
        <c:crossBetween val="midCat"/>
      </c:valAx>
      <c:valAx>
        <c:axId val="187060988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总评分 </a:t>
                </a:r>
                <a:r>
                  <a:rPr lang="en-US" altLang="zh-CN"/>
                  <a:t>Total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0608400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黑珍珠收录次数 </a:t>
            </a:r>
            <a:r>
              <a:rPr lang="en-US" altLang="zh-CN"/>
              <a:t>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Sheet3!$O$2:$O$154</c:f>
              <c:numCache>
                <c:formatCode>General</c:formatCode>
                <c:ptCount val="153"/>
              </c:numCache>
            </c:numRef>
          </c:xVal>
          <c:yVal>
            <c:numRef>
              <c:f>Sheet1!$F$2:$F$154</c:f>
              <c:numCache>
                <c:formatCode>General</c:formatCode>
                <c:ptCount val="153"/>
                <c:pt idx="0">
                  <c:v>4.5</c:v>
                </c:pt>
                <c:pt idx="1">
                  <c:v>4.8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4.4000000000000004</c:v>
                </c:pt>
                <c:pt idx="5">
                  <c:v>4.8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4.3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4.8</c:v>
                </c:pt>
                <c:pt idx="15">
                  <c:v>4.3</c:v>
                </c:pt>
                <c:pt idx="16">
                  <c:v>4.7</c:v>
                </c:pt>
                <c:pt idx="17">
                  <c:v>4.7</c:v>
                </c:pt>
                <c:pt idx="18">
                  <c:v>4.4000000000000004</c:v>
                </c:pt>
                <c:pt idx="19">
                  <c:v>4.0999999999999996</c:v>
                </c:pt>
                <c:pt idx="20">
                  <c:v>4.3</c:v>
                </c:pt>
                <c:pt idx="21">
                  <c:v>4.5</c:v>
                </c:pt>
                <c:pt idx="22">
                  <c:v>4.8</c:v>
                </c:pt>
                <c:pt idx="23">
                  <c:v>4.7</c:v>
                </c:pt>
                <c:pt idx="24">
                  <c:v>4.3</c:v>
                </c:pt>
                <c:pt idx="25">
                  <c:v>4.3</c:v>
                </c:pt>
                <c:pt idx="26">
                  <c:v>4.5999999999999996</c:v>
                </c:pt>
                <c:pt idx="27">
                  <c:v>4.5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4.5999999999999996</c:v>
                </c:pt>
                <c:pt idx="33">
                  <c:v>4.8</c:v>
                </c:pt>
                <c:pt idx="34">
                  <c:v>4.7</c:v>
                </c:pt>
                <c:pt idx="35">
                  <c:v>4.3</c:v>
                </c:pt>
                <c:pt idx="36">
                  <c:v>4.4000000000000004</c:v>
                </c:pt>
                <c:pt idx="37">
                  <c:v>4.0999999999999996</c:v>
                </c:pt>
                <c:pt idx="38">
                  <c:v>4.9000000000000004</c:v>
                </c:pt>
                <c:pt idx="39">
                  <c:v>4.0999999999999996</c:v>
                </c:pt>
                <c:pt idx="40">
                  <c:v>4.7</c:v>
                </c:pt>
                <c:pt idx="41">
                  <c:v>4.5999999999999996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4.4000000000000004</c:v>
                </c:pt>
                <c:pt idx="50">
                  <c:v>4.5999999999999996</c:v>
                </c:pt>
                <c:pt idx="51">
                  <c:v>4.4000000000000004</c:v>
                </c:pt>
                <c:pt idx="52">
                  <c:v>4.5</c:v>
                </c:pt>
                <c:pt idx="53">
                  <c:v>4.5999999999999996</c:v>
                </c:pt>
                <c:pt idx="54">
                  <c:v>4.4000000000000004</c:v>
                </c:pt>
                <c:pt idx="55">
                  <c:v>4</c:v>
                </c:pt>
                <c:pt idx="56">
                  <c:v>4.8</c:v>
                </c:pt>
                <c:pt idx="57">
                  <c:v>4.8</c:v>
                </c:pt>
                <c:pt idx="58">
                  <c:v>4.5</c:v>
                </c:pt>
                <c:pt idx="59">
                  <c:v>4.5</c:v>
                </c:pt>
                <c:pt idx="60">
                  <c:v>4.4000000000000004</c:v>
                </c:pt>
                <c:pt idx="61">
                  <c:v>4.8</c:v>
                </c:pt>
                <c:pt idx="62">
                  <c:v>4.5</c:v>
                </c:pt>
                <c:pt idx="63">
                  <c:v>4.5</c:v>
                </c:pt>
                <c:pt idx="64">
                  <c:v>4.8</c:v>
                </c:pt>
                <c:pt idx="65">
                  <c:v>4.7</c:v>
                </c:pt>
                <c:pt idx="66">
                  <c:v>4.9000000000000004</c:v>
                </c:pt>
                <c:pt idx="67">
                  <c:v>4.5</c:v>
                </c:pt>
                <c:pt idx="68">
                  <c:v>4.8</c:v>
                </c:pt>
                <c:pt idx="69">
                  <c:v>4.8</c:v>
                </c:pt>
                <c:pt idx="70">
                  <c:v>4.7</c:v>
                </c:pt>
                <c:pt idx="71">
                  <c:v>4.4000000000000004</c:v>
                </c:pt>
                <c:pt idx="72">
                  <c:v>4.8</c:v>
                </c:pt>
                <c:pt idx="73">
                  <c:v>4.2</c:v>
                </c:pt>
                <c:pt idx="74">
                  <c:v>4.4000000000000004</c:v>
                </c:pt>
                <c:pt idx="75">
                  <c:v>4.7</c:v>
                </c:pt>
                <c:pt idx="76">
                  <c:v>4.7</c:v>
                </c:pt>
                <c:pt idx="77">
                  <c:v>4.3</c:v>
                </c:pt>
                <c:pt idx="78">
                  <c:v>4.5</c:v>
                </c:pt>
                <c:pt idx="79">
                  <c:v>4.4000000000000004</c:v>
                </c:pt>
                <c:pt idx="80">
                  <c:v>4.8</c:v>
                </c:pt>
                <c:pt idx="81">
                  <c:v>4.7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4.5999999999999996</c:v>
                </c:pt>
                <c:pt idx="85">
                  <c:v>4.9000000000000004</c:v>
                </c:pt>
                <c:pt idx="86">
                  <c:v>4.5</c:v>
                </c:pt>
                <c:pt idx="87">
                  <c:v>4.5999999999999996</c:v>
                </c:pt>
                <c:pt idx="88">
                  <c:v>4.5</c:v>
                </c:pt>
                <c:pt idx="89">
                  <c:v>4.5</c:v>
                </c:pt>
                <c:pt idx="90">
                  <c:v>4.5999999999999996</c:v>
                </c:pt>
                <c:pt idx="91">
                  <c:v>4.8</c:v>
                </c:pt>
                <c:pt idx="92">
                  <c:v>4.8</c:v>
                </c:pt>
                <c:pt idx="93">
                  <c:v>4.8</c:v>
                </c:pt>
                <c:pt idx="94">
                  <c:v>4.5</c:v>
                </c:pt>
                <c:pt idx="95">
                  <c:v>4.8</c:v>
                </c:pt>
                <c:pt idx="96">
                  <c:v>4.5</c:v>
                </c:pt>
                <c:pt idx="97">
                  <c:v>4.7</c:v>
                </c:pt>
                <c:pt idx="98">
                  <c:v>4.8</c:v>
                </c:pt>
                <c:pt idx="99">
                  <c:v>4.5999999999999996</c:v>
                </c:pt>
                <c:pt idx="100">
                  <c:v>4.4000000000000004</c:v>
                </c:pt>
                <c:pt idx="101">
                  <c:v>4.4000000000000004</c:v>
                </c:pt>
                <c:pt idx="102">
                  <c:v>4.7</c:v>
                </c:pt>
                <c:pt idx="103">
                  <c:v>4.3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4.5999999999999996</c:v>
                </c:pt>
                <c:pt idx="108">
                  <c:v>4.3</c:v>
                </c:pt>
                <c:pt idx="109">
                  <c:v>4.7</c:v>
                </c:pt>
                <c:pt idx="110">
                  <c:v>4.8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4.8</c:v>
                </c:pt>
                <c:pt idx="114">
                  <c:v>4.8</c:v>
                </c:pt>
                <c:pt idx="115">
                  <c:v>4.7</c:v>
                </c:pt>
                <c:pt idx="116">
                  <c:v>4.7</c:v>
                </c:pt>
                <c:pt idx="117">
                  <c:v>4.3</c:v>
                </c:pt>
                <c:pt idx="118">
                  <c:v>4.5999999999999996</c:v>
                </c:pt>
                <c:pt idx="119">
                  <c:v>4.4000000000000004</c:v>
                </c:pt>
                <c:pt idx="120">
                  <c:v>4.8</c:v>
                </c:pt>
                <c:pt idx="121">
                  <c:v>4.7</c:v>
                </c:pt>
                <c:pt idx="122">
                  <c:v>4.7</c:v>
                </c:pt>
                <c:pt idx="123">
                  <c:v>4.5999999999999996</c:v>
                </c:pt>
                <c:pt idx="124">
                  <c:v>4.5999999999999996</c:v>
                </c:pt>
                <c:pt idx="125">
                  <c:v>4.7</c:v>
                </c:pt>
                <c:pt idx="126">
                  <c:v>4.7</c:v>
                </c:pt>
                <c:pt idx="127">
                  <c:v>4.7</c:v>
                </c:pt>
                <c:pt idx="128">
                  <c:v>4.8</c:v>
                </c:pt>
                <c:pt idx="129">
                  <c:v>4.7</c:v>
                </c:pt>
                <c:pt idx="130">
                  <c:v>4.5</c:v>
                </c:pt>
                <c:pt idx="131">
                  <c:v>4.8</c:v>
                </c:pt>
                <c:pt idx="132">
                  <c:v>4.4000000000000004</c:v>
                </c:pt>
                <c:pt idx="133">
                  <c:v>4.5</c:v>
                </c:pt>
                <c:pt idx="134">
                  <c:v>4.5999999999999996</c:v>
                </c:pt>
                <c:pt idx="135">
                  <c:v>4.8</c:v>
                </c:pt>
                <c:pt idx="136">
                  <c:v>4.8</c:v>
                </c:pt>
                <c:pt idx="137">
                  <c:v>4.5</c:v>
                </c:pt>
                <c:pt idx="138">
                  <c:v>4.5999999999999996</c:v>
                </c:pt>
                <c:pt idx="139">
                  <c:v>4.8</c:v>
                </c:pt>
                <c:pt idx="140">
                  <c:v>4.5999999999999996</c:v>
                </c:pt>
                <c:pt idx="141">
                  <c:v>4.7</c:v>
                </c:pt>
                <c:pt idx="142">
                  <c:v>4.8</c:v>
                </c:pt>
                <c:pt idx="143">
                  <c:v>4.7</c:v>
                </c:pt>
                <c:pt idx="144">
                  <c:v>4.7</c:v>
                </c:pt>
                <c:pt idx="145">
                  <c:v>4.5999999999999996</c:v>
                </c:pt>
                <c:pt idx="146">
                  <c:v>4.5</c:v>
                </c:pt>
                <c:pt idx="147">
                  <c:v>4.5999999999999996</c:v>
                </c:pt>
                <c:pt idx="148">
                  <c:v>4.5</c:v>
                </c:pt>
                <c:pt idx="149">
                  <c:v>4.7</c:v>
                </c:pt>
                <c:pt idx="150">
                  <c:v>4.8</c:v>
                </c:pt>
                <c:pt idx="151">
                  <c:v>4.5999999999999996</c:v>
                </c:pt>
                <c:pt idx="152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C-EC4C-A7CE-7489BCA163E8}"/>
            </c:ext>
          </c:extLst>
        </c:ser>
        <c:ser>
          <c:idx val="1"/>
          <c:order val="1"/>
          <c:tx>
            <c:v>预测 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Sheet3!$O$2:$O$154</c:f>
              <c:numCache>
                <c:formatCode>General</c:formatCode>
                <c:ptCount val="153"/>
              </c:numCache>
            </c:numRef>
          </c:xVal>
          <c:yVal>
            <c:numRef>
              <c:f>Sheet3!$B$30:$B$182</c:f>
              <c:numCache>
                <c:formatCode>General</c:formatCode>
                <c:ptCount val="153"/>
                <c:pt idx="0">
                  <c:v>4.6925661415751803</c:v>
                </c:pt>
                <c:pt idx="1">
                  <c:v>4.7880448607378501</c:v>
                </c:pt>
                <c:pt idx="2">
                  <c:v>4.50725290629385</c:v>
                </c:pt>
                <c:pt idx="3">
                  <c:v>4.5689678897848998</c:v>
                </c:pt>
                <c:pt idx="4">
                  <c:v>4.5597111689452898</c:v>
                </c:pt>
                <c:pt idx="5">
                  <c:v>4.6467601814980997</c:v>
                </c:pt>
                <c:pt idx="6">
                  <c:v>4.6057236788936198</c:v>
                </c:pt>
                <c:pt idx="7">
                  <c:v>4.5807951095571804</c:v>
                </c:pt>
                <c:pt idx="8">
                  <c:v>4.4092534545583302</c:v>
                </c:pt>
                <c:pt idx="9">
                  <c:v>4.5458148877772304</c:v>
                </c:pt>
                <c:pt idx="10">
                  <c:v>4.6227145501397997</c:v>
                </c:pt>
                <c:pt idx="11">
                  <c:v>4.46571348630368</c:v>
                </c:pt>
                <c:pt idx="12">
                  <c:v>4.5591297990307602</c:v>
                </c:pt>
                <c:pt idx="13">
                  <c:v>4.6768080619372903</c:v>
                </c:pt>
                <c:pt idx="14">
                  <c:v>4.6716343156195803</c:v>
                </c:pt>
                <c:pt idx="15">
                  <c:v>4.61714501570086</c:v>
                </c:pt>
                <c:pt idx="16">
                  <c:v>4.63179974301746</c:v>
                </c:pt>
                <c:pt idx="17">
                  <c:v>4.64691190981803</c:v>
                </c:pt>
                <c:pt idx="18">
                  <c:v>4.56472995845448</c:v>
                </c:pt>
                <c:pt idx="19">
                  <c:v>4.5082181092481699</c:v>
                </c:pt>
                <c:pt idx="20">
                  <c:v>4.5360985765914004</c:v>
                </c:pt>
                <c:pt idx="21">
                  <c:v>4.5932205405165396</c:v>
                </c:pt>
                <c:pt idx="22">
                  <c:v>4.6272468844708596</c:v>
                </c:pt>
                <c:pt idx="23">
                  <c:v>4.5894422055407702</c:v>
                </c:pt>
                <c:pt idx="24">
                  <c:v>4.6110347511322098</c:v>
                </c:pt>
                <c:pt idx="25">
                  <c:v>4.52782350126241</c:v>
                </c:pt>
                <c:pt idx="26">
                  <c:v>4.5166176448186803</c:v>
                </c:pt>
                <c:pt idx="27">
                  <c:v>4.6081246042302801</c:v>
                </c:pt>
                <c:pt idx="28">
                  <c:v>4.5710526779811698</c:v>
                </c:pt>
                <c:pt idx="29">
                  <c:v>4.5791416007651602</c:v>
                </c:pt>
                <c:pt idx="30">
                  <c:v>4.56008034839763</c:v>
                </c:pt>
                <c:pt idx="31">
                  <c:v>4.52149455679334</c:v>
                </c:pt>
                <c:pt idx="32">
                  <c:v>4.4582602241573097</c:v>
                </c:pt>
                <c:pt idx="33">
                  <c:v>4.6074486713946596</c:v>
                </c:pt>
                <c:pt idx="34">
                  <c:v>4.64341531197016</c:v>
                </c:pt>
                <c:pt idx="35">
                  <c:v>4.3824289526504199</c:v>
                </c:pt>
                <c:pt idx="36">
                  <c:v>4.5826590702554499</c:v>
                </c:pt>
                <c:pt idx="37">
                  <c:v>4.5662419244775503</c:v>
                </c:pt>
                <c:pt idx="38">
                  <c:v>4.5794851540324304</c:v>
                </c:pt>
                <c:pt idx="39">
                  <c:v>4.5850718044372103</c:v>
                </c:pt>
                <c:pt idx="40">
                  <c:v>4.6624430554835801</c:v>
                </c:pt>
                <c:pt idx="41">
                  <c:v>4.6453865600413202</c:v>
                </c:pt>
                <c:pt idx="42">
                  <c:v>4.4695351188006098</c:v>
                </c:pt>
                <c:pt idx="43">
                  <c:v>4.5761610081306099</c:v>
                </c:pt>
                <c:pt idx="44">
                  <c:v>4.7179521196916996</c:v>
                </c:pt>
                <c:pt idx="45">
                  <c:v>4.5919113978972099</c:v>
                </c:pt>
                <c:pt idx="46">
                  <c:v>4.4838354720914104</c:v>
                </c:pt>
                <c:pt idx="47">
                  <c:v>4.6444882193281796</c:v>
                </c:pt>
                <c:pt idx="48">
                  <c:v>4.6194113359849798</c:v>
                </c:pt>
                <c:pt idx="49">
                  <c:v>4.5971571981004304</c:v>
                </c:pt>
                <c:pt idx="50">
                  <c:v>4.57495085024029</c:v>
                </c:pt>
                <c:pt idx="51">
                  <c:v>4.5180473334633904</c:v>
                </c:pt>
                <c:pt idx="52">
                  <c:v>4.4086561638790904</c:v>
                </c:pt>
                <c:pt idx="53">
                  <c:v>4.5973899214492704</c:v>
                </c:pt>
                <c:pt idx="54">
                  <c:v>4.3816692711251104</c:v>
                </c:pt>
                <c:pt idx="55">
                  <c:v>4.4833617362194902</c:v>
                </c:pt>
                <c:pt idx="56">
                  <c:v>4.6340197479728502</c:v>
                </c:pt>
                <c:pt idx="57">
                  <c:v>4.65078646964536</c:v>
                </c:pt>
                <c:pt idx="58">
                  <c:v>4.5357728508151904</c:v>
                </c:pt>
                <c:pt idx="59">
                  <c:v>4.5427877257396796</c:v>
                </c:pt>
                <c:pt idx="60">
                  <c:v>4.6178830207067403</c:v>
                </c:pt>
                <c:pt idx="61">
                  <c:v>4.6079688176546396</c:v>
                </c:pt>
                <c:pt idx="62">
                  <c:v>4.5580589201152399</c:v>
                </c:pt>
                <c:pt idx="63">
                  <c:v>4.6183579344736101</c:v>
                </c:pt>
                <c:pt idx="64">
                  <c:v>4.6154872197524304</c:v>
                </c:pt>
                <c:pt idx="65">
                  <c:v>4.5878363159685396</c:v>
                </c:pt>
                <c:pt idx="66">
                  <c:v>4.6486626278413201</c:v>
                </c:pt>
                <c:pt idx="67">
                  <c:v>4.3199200193028604</c:v>
                </c:pt>
                <c:pt idx="68">
                  <c:v>4.5806491575582298</c:v>
                </c:pt>
                <c:pt idx="69">
                  <c:v>4.6523331879240599</c:v>
                </c:pt>
                <c:pt idx="70">
                  <c:v>4.5709216988878199</c:v>
                </c:pt>
                <c:pt idx="71">
                  <c:v>4.6609491700467904</c:v>
                </c:pt>
                <c:pt idx="72">
                  <c:v>4.60971160538611</c:v>
                </c:pt>
                <c:pt idx="73">
                  <c:v>4.5634296893647504</c:v>
                </c:pt>
                <c:pt idx="74">
                  <c:v>4.5096374375362203</c:v>
                </c:pt>
                <c:pt idx="75">
                  <c:v>4.63074198791226</c:v>
                </c:pt>
                <c:pt idx="76">
                  <c:v>4.6355940667916196</c:v>
                </c:pt>
                <c:pt idx="77">
                  <c:v>4.5309507181046396</c:v>
                </c:pt>
                <c:pt idx="78">
                  <c:v>4.6305370760745204</c:v>
                </c:pt>
                <c:pt idx="79">
                  <c:v>4.6114447281046997</c:v>
                </c:pt>
                <c:pt idx="80">
                  <c:v>4.60313193721551</c:v>
                </c:pt>
                <c:pt idx="81">
                  <c:v>4.6279142012957397</c:v>
                </c:pt>
                <c:pt idx="82">
                  <c:v>4.6008834621645001</c:v>
                </c:pt>
                <c:pt idx="83">
                  <c:v>4.52688422784402</c:v>
                </c:pt>
                <c:pt idx="84">
                  <c:v>4.6124963724399803</c:v>
                </c:pt>
                <c:pt idx="85">
                  <c:v>4.6064147992925601</c:v>
                </c:pt>
                <c:pt idx="86">
                  <c:v>4.5885343597672099</c:v>
                </c:pt>
                <c:pt idx="87">
                  <c:v>4.5897676429227801</c:v>
                </c:pt>
                <c:pt idx="88">
                  <c:v>4.6180448535282297</c:v>
                </c:pt>
                <c:pt idx="89">
                  <c:v>4.6304172850433396</c:v>
                </c:pt>
                <c:pt idx="90">
                  <c:v>4.6223511649976103</c:v>
                </c:pt>
                <c:pt idx="91">
                  <c:v>4.5839592742686701</c:v>
                </c:pt>
                <c:pt idx="92">
                  <c:v>4.5806357609755999</c:v>
                </c:pt>
                <c:pt idx="93">
                  <c:v>4.6527140646963003</c:v>
                </c:pt>
                <c:pt idx="94">
                  <c:v>4.5977138531387798</c:v>
                </c:pt>
                <c:pt idx="95">
                  <c:v>4.5781149424193099</c:v>
                </c:pt>
                <c:pt idx="96">
                  <c:v>4.58367833955867</c:v>
                </c:pt>
                <c:pt idx="97">
                  <c:v>4.6497580649243497</c:v>
                </c:pt>
                <c:pt idx="98">
                  <c:v>4.5980234394937103</c:v>
                </c:pt>
                <c:pt idx="99">
                  <c:v>4.6182555278675599</c:v>
                </c:pt>
                <c:pt idx="100">
                  <c:v>4.6151953144388598</c:v>
                </c:pt>
                <c:pt idx="101">
                  <c:v>4.5377745666129803</c:v>
                </c:pt>
                <c:pt idx="102">
                  <c:v>4.5994687940819396</c:v>
                </c:pt>
                <c:pt idx="103">
                  <c:v>4.5814739031588196</c:v>
                </c:pt>
                <c:pt idx="104">
                  <c:v>4.4650248889704303</c:v>
                </c:pt>
                <c:pt idx="105">
                  <c:v>4.5477419429305499</c:v>
                </c:pt>
                <c:pt idx="106">
                  <c:v>4.5898366368475498</c:v>
                </c:pt>
                <c:pt idx="107">
                  <c:v>4.5721982876686598</c:v>
                </c:pt>
                <c:pt idx="108">
                  <c:v>4.6163766784977902</c:v>
                </c:pt>
                <c:pt idx="109">
                  <c:v>4.6861085051212701</c:v>
                </c:pt>
                <c:pt idx="110">
                  <c:v>4.5566218946079804</c:v>
                </c:pt>
                <c:pt idx="111">
                  <c:v>4.6419137920790501</c:v>
                </c:pt>
                <c:pt idx="112">
                  <c:v>4.6045690427628898</c:v>
                </c:pt>
                <c:pt idx="113">
                  <c:v>4.6247382226276201</c:v>
                </c:pt>
                <c:pt idx="114">
                  <c:v>4.6032431596046797</c:v>
                </c:pt>
                <c:pt idx="115">
                  <c:v>4.5824643299362</c:v>
                </c:pt>
                <c:pt idx="116">
                  <c:v>4.6319543176428004</c:v>
                </c:pt>
                <c:pt idx="117">
                  <c:v>4.6477915545291504</c:v>
                </c:pt>
                <c:pt idx="118">
                  <c:v>4.6302408540082096</c:v>
                </c:pt>
                <c:pt idx="119">
                  <c:v>4.6276006996547503</c:v>
                </c:pt>
                <c:pt idx="120">
                  <c:v>4.6426357414247503</c:v>
                </c:pt>
                <c:pt idx="121">
                  <c:v>4.6256879945839096</c:v>
                </c:pt>
                <c:pt idx="122">
                  <c:v>4.5780315379638896</c:v>
                </c:pt>
                <c:pt idx="123">
                  <c:v>4.5425264640081702</c:v>
                </c:pt>
                <c:pt idx="124">
                  <c:v>4.6732914771467904</c:v>
                </c:pt>
                <c:pt idx="125">
                  <c:v>4.5309085151768898</c:v>
                </c:pt>
                <c:pt idx="126">
                  <c:v>4.6429942343371504</c:v>
                </c:pt>
                <c:pt idx="127">
                  <c:v>4.6400850872273498</c:v>
                </c:pt>
                <c:pt idx="128">
                  <c:v>4.6377969340684997</c:v>
                </c:pt>
                <c:pt idx="129">
                  <c:v>4.6011907837054</c:v>
                </c:pt>
                <c:pt idx="130">
                  <c:v>4.6117884984702098</c:v>
                </c:pt>
                <c:pt idx="131">
                  <c:v>4.6337525341810499</c:v>
                </c:pt>
                <c:pt idx="132">
                  <c:v>4.6161639278165101</c:v>
                </c:pt>
                <c:pt idx="133">
                  <c:v>4.6188317824313501</c:v>
                </c:pt>
                <c:pt idx="134">
                  <c:v>4.6524072766075504</c:v>
                </c:pt>
                <c:pt idx="135">
                  <c:v>4.7240257534246304</c:v>
                </c:pt>
                <c:pt idx="136">
                  <c:v>4.6292420841871698</c:v>
                </c:pt>
                <c:pt idx="137">
                  <c:v>4.6054204753424104</c:v>
                </c:pt>
                <c:pt idx="138">
                  <c:v>4.5294523550191803</c:v>
                </c:pt>
                <c:pt idx="139">
                  <c:v>4.60846888349419</c:v>
                </c:pt>
                <c:pt idx="140">
                  <c:v>4.5750065799055504</c:v>
                </c:pt>
                <c:pt idx="141">
                  <c:v>4.8146400656711501</c:v>
                </c:pt>
                <c:pt idx="142">
                  <c:v>4.5948166755202804</c:v>
                </c:pt>
                <c:pt idx="143">
                  <c:v>4.5341754400480898</c:v>
                </c:pt>
                <c:pt idx="144">
                  <c:v>4.6006276219551596</c:v>
                </c:pt>
                <c:pt idx="145">
                  <c:v>4.6246258010353296</c:v>
                </c:pt>
                <c:pt idx="146">
                  <c:v>4.3921644892559</c:v>
                </c:pt>
                <c:pt idx="147">
                  <c:v>4.4944462849448898</c:v>
                </c:pt>
                <c:pt idx="148">
                  <c:v>4.5274572033298996</c:v>
                </c:pt>
                <c:pt idx="149">
                  <c:v>4.6214467745576604</c:v>
                </c:pt>
                <c:pt idx="150">
                  <c:v>4.5874674326926597</c:v>
                </c:pt>
                <c:pt idx="151">
                  <c:v>4.6083028134685797</c:v>
                </c:pt>
                <c:pt idx="152">
                  <c:v>4.5352063269875602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8C-EC4C-A7CE-7489BCA16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645680"/>
        <c:axId val="1698632112"/>
      </c:scatterChart>
      <c:valAx>
        <c:axId val="16986456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黑珍珠收录次数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632112"/>
        <c:crosses val="autoZero"/>
        <c:crossBetween val="midCat"/>
      </c:valAx>
      <c:valAx>
        <c:axId val="169863211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总评分 </a:t>
                </a:r>
                <a:r>
                  <a:rPr lang="en-US" altLang="zh-CN"/>
                  <a:t>Total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8645680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人均价格</a:t>
            </a:r>
            <a:r>
              <a:rPr lang="en-US" altLang="zh-CN"/>
              <a:t>/¥ Average price per person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Sheet3!$P$2:$P$154</c:f>
              <c:numCache>
                <c:formatCode>General</c:formatCode>
                <c:ptCount val="153"/>
              </c:numCache>
            </c:numRef>
          </c:xVal>
          <c:yVal>
            <c:numRef>
              <c:f>Sheet1!$F$2:$F$154</c:f>
              <c:numCache>
                <c:formatCode>General</c:formatCode>
                <c:ptCount val="153"/>
                <c:pt idx="0">
                  <c:v>4.5</c:v>
                </c:pt>
                <c:pt idx="1">
                  <c:v>4.8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4.4000000000000004</c:v>
                </c:pt>
                <c:pt idx="5">
                  <c:v>4.8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4.3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4.8</c:v>
                </c:pt>
                <c:pt idx="15">
                  <c:v>4.3</c:v>
                </c:pt>
                <c:pt idx="16">
                  <c:v>4.7</c:v>
                </c:pt>
                <c:pt idx="17">
                  <c:v>4.7</c:v>
                </c:pt>
                <c:pt idx="18">
                  <c:v>4.4000000000000004</c:v>
                </c:pt>
                <c:pt idx="19">
                  <c:v>4.0999999999999996</c:v>
                </c:pt>
                <c:pt idx="20">
                  <c:v>4.3</c:v>
                </c:pt>
                <c:pt idx="21">
                  <c:v>4.5</c:v>
                </c:pt>
                <c:pt idx="22">
                  <c:v>4.8</c:v>
                </c:pt>
                <c:pt idx="23">
                  <c:v>4.7</c:v>
                </c:pt>
                <c:pt idx="24">
                  <c:v>4.3</c:v>
                </c:pt>
                <c:pt idx="25">
                  <c:v>4.3</c:v>
                </c:pt>
                <c:pt idx="26">
                  <c:v>4.5999999999999996</c:v>
                </c:pt>
                <c:pt idx="27">
                  <c:v>4.5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4.5999999999999996</c:v>
                </c:pt>
                <c:pt idx="33">
                  <c:v>4.8</c:v>
                </c:pt>
                <c:pt idx="34">
                  <c:v>4.7</c:v>
                </c:pt>
                <c:pt idx="35">
                  <c:v>4.3</c:v>
                </c:pt>
                <c:pt idx="36">
                  <c:v>4.4000000000000004</c:v>
                </c:pt>
                <c:pt idx="37">
                  <c:v>4.0999999999999996</c:v>
                </c:pt>
                <c:pt idx="38">
                  <c:v>4.9000000000000004</c:v>
                </c:pt>
                <c:pt idx="39">
                  <c:v>4.0999999999999996</c:v>
                </c:pt>
                <c:pt idx="40">
                  <c:v>4.7</c:v>
                </c:pt>
                <c:pt idx="41">
                  <c:v>4.5999999999999996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4.4000000000000004</c:v>
                </c:pt>
                <c:pt idx="50">
                  <c:v>4.5999999999999996</c:v>
                </c:pt>
                <c:pt idx="51">
                  <c:v>4.4000000000000004</c:v>
                </c:pt>
                <c:pt idx="52">
                  <c:v>4.5</c:v>
                </c:pt>
                <c:pt idx="53">
                  <c:v>4.5999999999999996</c:v>
                </c:pt>
                <c:pt idx="54">
                  <c:v>4.4000000000000004</c:v>
                </c:pt>
                <c:pt idx="55">
                  <c:v>4</c:v>
                </c:pt>
                <c:pt idx="56">
                  <c:v>4.8</c:v>
                </c:pt>
                <c:pt idx="57">
                  <c:v>4.8</c:v>
                </c:pt>
                <c:pt idx="58">
                  <c:v>4.5</c:v>
                </c:pt>
                <c:pt idx="59">
                  <c:v>4.5</c:v>
                </c:pt>
                <c:pt idx="60">
                  <c:v>4.4000000000000004</c:v>
                </c:pt>
                <c:pt idx="61">
                  <c:v>4.8</c:v>
                </c:pt>
                <c:pt idx="62">
                  <c:v>4.5</c:v>
                </c:pt>
                <c:pt idx="63">
                  <c:v>4.5</c:v>
                </c:pt>
                <c:pt idx="64">
                  <c:v>4.8</c:v>
                </c:pt>
                <c:pt idx="65">
                  <c:v>4.7</c:v>
                </c:pt>
                <c:pt idx="66">
                  <c:v>4.9000000000000004</c:v>
                </c:pt>
                <c:pt idx="67">
                  <c:v>4.5</c:v>
                </c:pt>
                <c:pt idx="68">
                  <c:v>4.8</c:v>
                </c:pt>
                <c:pt idx="69">
                  <c:v>4.8</c:v>
                </c:pt>
                <c:pt idx="70">
                  <c:v>4.7</c:v>
                </c:pt>
                <c:pt idx="71">
                  <c:v>4.4000000000000004</c:v>
                </c:pt>
                <c:pt idx="72">
                  <c:v>4.8</c:v>
                </c:pt>
                <c:pt idx="73">
                  <c:v>4.2</c:v>
                </c:pt>
                <c:pt idx="74">
                  <c:v>4.4000000000000004</c:v>
                </c:pt>
                <c:pt idx="75">
                  <c:v>4.7</c:v>
                </c:pt>
                <c:pt idx="76">
                  <c:v>4.7</c:v>
                </c:pt>
                <c:pt idx="77">
                  <c:v>4.3</c:v>
                </c:pt>
                <c:pt idx="78">
                  <c:v>4.5</c:v>
                </c:pt>
                <c:pt idx="79">
                  <c:v>4.4000000000000004</c:v>
                </c:pt>
                <c:pt idx="80">
                  <c:v>4.8</c:v>
                </c:pt>
                <c:pt idx="81">
                  <c:v>4.7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4.5999999999999996</c:v>
                </c:pt>
                <c:pt idx="85">
                  <c:v>4.9000000000000004</c:v>
                </c:pt>
                <c:pt idx="86">
                  <c:v>4.5</c:v>
                </c:pt>
                <c:pt idx="87">
                  <c:v>4.5999999999999996</c:v>
                </c:pt>
                <c:pt idx="88">
                  <c:v>4.5</c:v>
                </c:pt>
                <c:pt idx="89">
                  <c:v>4.5</c:v>
                </c:pt>
                <c:pt idx="90">
                  <c:v>4.5999999999999996</c:v>
                </c:pt>
                <c:pt idx="91">
                  <c:v>4.8</c:v>
                </c:pt>
                <c:pt idx="92">
                  <c:v>4.8</c:v>
                </c:pt>
                <c:pt idx="93">
                  <c:v>4.8</c:v>
                </c:pt>
                <c:pt idx="94">
                  <c:v>4.5</c:v>
                </c:pt>
                <c:pt idx="95">
                  <c:v>4.8</c:v>
                </c:pt>
                <c:pt idx="96">
                  <c:v>4.5</c:v>
                </c:pt>
                <c:pt idx="97">
                  <c:v>4.7</c:v>
                </c:pt>
                <c:pt idx="98">
                  <c:v>4.8</c:v>
                </c:pt>
                <c:pt idx="99">
                  <c:v>4.5999999999999996</c:v>
                </c:pt>
                <c:pt idx="100">
                  <c:v>4.4000000000000004</c:v>
                </c:pt>
                <c:pt idx="101">
                  <c:v>4.4000000000000004</c:v>
                </c:pt>
                <c:pt idx="102">
                  <c:v>4.7</c:v>
                </c:pt>
                <c:pt idx="103">
                  <c:v>4.3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4.5999999999999996</c:v>
                </c:pt>
                <c:pt idx="108">
                  <c:v>4.3</c:v>
                </c:pt>
                <c:pt idx="109">
                  <c:v>4.7</c:v>
                </c:pt>
                <c:pt idx="110">
                  <c:v>4.8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4.8</c:v>
                </c:pt>
                <c:pt idx="114">
                  <c:v>4.8</c:v>
                </c:pt>
                <c:pt idx="115">
                  <c:v>4.7</c:v>
                </c:pt>
                <c:pt idx="116">
                  <c:v>4.7</c:v>
                </c:pt>
                <c:pt idx="117">
                  <c:v>4.3</c:v>
                </c:pt>
                <c:pt idx="118">
                  <c:v>4.5999999999999996</c:v>
                </c:pt>
                <c:pt idx="119">
                  <c:v>4.4000000000000004</c:v>
                </c:pt>
                <c:pt idx="120">
                  <c:v>4.8</c:v>
                </c:pt>
                <c:pt idx="121">
                  <c:v>4.7</c:v>
                </c:pt>
                <c:pt idx="122">
                  <c:v>4.7</c:v>
                </c:pt>
                <c:pt idx="123">
                  <c:v>4.5999999999999996</c:v>
                </c:pt>
                <c:pt idx="124">
                  <c:v>4.5999999999999996</c:v>
                </c:pt>
                <c:pt idx="125">
                  <c:v>4.7</c:v>
                </c:pt>
                <c:pt idx="126">
                  <c:v>4.7</c:v>
                </c:pt>
                <c:pt idx="127">
                  <c:v>4.7</c:v>
                </c:pt>
                <c:pt idx="128">
                  <c:v>4.8</c:v>
                </c:pt>
                <c:pt idx="129">
                  <c:v>4.7</c:v>
                </c:pt>
                <c:pt idx="130">
                  <c:v>4.5</c:v>
                </c:pt>
                <c:pt idx="131">
                  <c:v>4.8</c:v>
                </c:pt>
                <c:pt idx="132">
                  <c:v>4.4000000000000004</c:v>
                </c:pt>
                <c:pt idx="133">
                  <c:v>4.5</c:v>
                </c:pt>
                <c:pt idx="134">
                  <c:v>4.5999999999999996</c:v>
                </c:pt>
                <c:pt idx="135">
                  <c:v>4.8</c:v>
                </c:pt>
                <c:pt idx="136">
                  <c:v>4.8</c:v>
                </c:pt>
                <c:pt idx="137">
                  <c:v>4.5</c:v>
                </c:pt>
                <c:pt idx="138">
                  <c:v>4.5999999999999996</c:v>
                </c:pt>
                <c:pt idx="139">
                  <c:v>4.8</c:v>
                </c:pt>
                <c:pt idx="140">
                  <c:v>4.5999999999999996</c:v>
                </c:pt>
                <c:pt idx="141">
                  <c:v>4.7</c:v>
                </c:pt>
                <c:pt idx="142">
                  <c:v>4.8</c:v>
                </c:pt>
                <c:pt idx="143">
                  <c:v>4.7</c:v>
                </c:pt>
                <c:pt idx="144">
                  <c:v>4.7</c:v>
                </c:pt>
                <c:pt idx="145">
                  <c:v>4.5999999999999996</c:v>
                </c:pt>
                <c:pt idx="146">
                  <c:v>4.5</c:v>
                </c:pt>
                <c:pt idx="147">
                  <c:v>4.5999999999999996</c:v>
                </c:pt>
                <c:pt idx="148">
                  <c:v>4.5</c:v>
                </c:pt>
                <c:pt idx="149">
                  <c:v>4.7</c:v>
                </c:pt>
                <c:pt idx="150">
                  <c:v>4.8</c:v>
                </c:pt>
                <c:pt idx="151">
                  <c:v>4.5999999999999996</c:v>
                </c:pt>
                <c:pt idx="152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1-374F-9D6E-9129B8B45819}"/>
            </c:ext>
          </c:extLst>
        </c:ser>
        <c:ser>
          <c:idx val="1"/>
          <c:order val="1"/>
          <c:tx>
            <c:v>预测 总评分 Total Score</c:v>
          </c:tx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Sheet3!$P$2:$P$154</c:f>
              <c:numCache>
                <c:formatCode>General</c:formatCode>
                <c:ptCount val="153"/>
              </c:numCache>
            </c:numRef>
          </c:xVal>
          <c:yVal>
            <c:numRef>
              <c:f>Sheet3!$B$30:$B$182</c:f>
              <c:numCache>
                <c:formatCode>General</c:formatCode>
                <c:ptCount val="153"/>
                <c:pt idx="0">
                  <c:v>4.6925661415751803</c:v>
                </c:pt>
                <c:pt idx="1">
                  <c:v>4.7880448607378501</c:v>
                </c:pt>
                <c:pt idx="2">
                  <c:v>4.50725290629385</c:v>
                </c:pt>
                <c:pt idx="3">
                  <c:v>4.5689678897848998</c:v>
                </c:pt>
                <c:pt idx="4">
                  <c:v>4.5597111689452898</c:v>
                </c:pt>
                <c:pt idx="5">
                  <c:v>4.6467601814980997</c:v>
                </c:pt>
                <c:pt idx="6">
                  <c:v>4.6057236788936198</c:v>
                </c:pt>
                <c:pt idx="7">
                  <c:v>4.5807951095571804</c:v>
                </c:pt>
                <c:pt idx="8">
                  <c:v>4.4092534545583302</c:v>
                </c:pt>
                <c:pt idx="9">
                  <c:v>4.5458148877772304</c:v>
                </c:pt>
                <c:pt idx="10">
                  <c:v>4.6227145501397997</c:v>
                </c:pt>
                <c:pt idx="11">
                  <c:v>4.46571348630368</c:v>
                </c:pt>
                <c:pt idx="12">
                  <c:v>4.5591297990307602</c:v>
                </c:pt>
                <c:pt idx="13">
                  <c:v>4.6768080619372903</c:v>
                </c:pt>
                <c:pt idx="14">
                  <c:v>4.6716343156195803</c:v>
                </c:pt>
                <c:pt idx="15">
                  <c:v>4.61714501570086</c:v>
                </c:pt>
                <c:pt idx="16">
                  <c:v>4.63179974301746</c:v>
                </c:pt>
                <c:pt idx="17">
                  <c:v>4.64691190981803</c:v>
                </c:pt>
                <c:pt idx="18">
                  <c:v>4.56472995845448</c:v>
                </c:pt>
                <c:pt idx="19">
                  <c:v>4.5082181092481699</c:v>
                </c:pt>
                <c:pt idx="20">
                  <c:v>4.5360985765914004</c:v>
                </c:pt>
                <c:pt idx="21">
                  <c:v>4.5932205405165396</c:v>
                </c:pt>
                <c:pt idx="22">
                  <c:v>4.6272468844708596</c:v>
                </c:pt>
                <c:pt idx="23">
                  <c:v>4.5894422055407702</c:v>
                </c:pt>
                <c:pt idx="24">
                  <c:v>4.6110347511322098</c:v>
                </c:pt>
                <c:pt idx="25">
                  <c:v>4.52782350126241</c:v>
                </c:pt>
                <c:pt idx="26">
                  <c:v>4.5166176448186803</c:v>
                </c:pt>
                <c:pt idx="27">
                  <c:v>4.6081246042302801</c:v>
                </c:pt>
                <c:pt idx="28">
                  <c:v>4.5710526779811698</c:v>
                </c:pt>
                <c:pt idx="29">
                  <c:v>4.5791416007651602</c:v>
                </c:pt>
                <c:pt idx="30">
                  <c:v>4.56008034839763</c:v>
                </c:pt>
                <c:pt idx="31">
                  <c:v>4.52149455679334</c:v>
                </c:pt>
                <c:pt idx="32">
                  <c:v>4.4582602241573097</c:v>
                </c:pt>
                <c:pt idx="33">
                  <c:v>4.6074486713946596</c:v>
                </c:pt>
                <c:pt idx="34">
                  <c:v>4.64341531197016</c:v>
                </c:pt>
                <c:pt idx="35">
                  <c:v>4.3824289526504199</c:v>
                </c:pt>
                <c:pt idx="36">
                  <c:v>4.5826590702554499</c:v>
                </c:pt>
                <c:pt idx="37">
                  <c:v>4.5662419244775503</c:v>
                </c:pt>
                <c:pt idx="38">
                  <c:v>4.5794851540324304</c:v>
                </c:pt>
                <c:pt idx="39">
                  <c:v>4.5850718044372103</c:v>
                </c:pt>
                <c:pt idx="40">
                  <c:v>4.6624430554835801</c:v>
                </c:pt>
                <c:pt idx="41">
                  <c:v>4.6453865600413202</c:v>
                </c:pt>
                <c:pt idx="42">
                  <c:v>4.4695351188006098</c:v>
                </c:pt>
                <c:pt idx="43">
                  <c:v>4.5761610081306099</c:v>
                </c:pt>
                <c:pt idx="44">
                  <c:v>4.7179521196916996</c:v>
                </c:pt>
                <c:pt idx="45">
                  <c:v>4.5919113978972099</c:v>
                </c:pt>
                <c:pt idx="46">
                  <c:v>4.4838354720914104</c:v>
                </c:pt>
                <c:pt idx="47">
                  <c:v>4.6444882193281796</c:v>
                </c:pt>
                <c:pt idx="48">
                  <c:v>4.6194113359849798</c:v>
                </c:pt>
                <c:pt idx="49">
                  <c:v>4.5971571981004304</c:v>
                </c:pt>
                <c:pt idx="50">
                  <c:v>4.57495085024029</c:v>
                </c:pt>
                <c:pt idx="51">
                  <c:v>4.5180473334633904</c:v>
                </c:pt>
                <c:pt idx="52">
                  <c:v>4.4086561638790904</c:v>
                </c:pt>
                <c:pt idx="53">
                  <c:v>4.5973899214492704</c:v>
                </c:pt>
                <c:pt idx="54">
                  <c:v>4.3816692711251104</c:v>
                </c:pt>
                <c:pt idx="55">
                  <c:v>4.4833617362194902</c:v>
                </c:pt>
                <c:pt idx="56">
                  <c:v>4.6340197479728502</c:v>
                </c:pt>
                <c:pt idx="57">
                  <c:v>4.65078646964536</c:v>
                </c:pt>
                <c:pt idx="58">
                  <c:v>4.5357728508151904</c:v>
                </c:pt>
                <c:pt idx="59">
                  <c:v>4.5427877257396796</c:v>
                </c:pt>
                <c:pt idx="60">
                  <c:v>4.6178830207067403</c:v>
                </c:pt>
                <c:pt idx="61">
                  <c:v>4.6079688176546396</c:v>
                </c:pt>
                <c:pt idx="62">
                  <c:v>4.5580589201152399</c:v>
                </c:pt>
                <c:pt idx="63">
                  <c:v>4.6183579344736101</c:v>
                </c:pt>
                <c:pt idx="64">
                  <c:v>4.6154872197524304</c:v>
                </c:pt>
                <c:pt idx="65">
                  <c:v>4.5878363159685396</c:v>
                </c:pt>
                <c:pt idx="66">
                  <c:v>4.6486626278413201</c:v>
                </c:pt>
                <c:pt idx="67">
                  <c:v>4.3199200193028604</c:v>
                </c:pt>
                <c:pt idx="68">
                  <c:v>4.5806491575582298</c:v>
                </c:pt>
                <c:pt idx="69">
                  <c:v>4.6523331879240599</c:v>
                </c:pt>
                <c:pt idx="70">
                  <c:v>4.5709216988878199</c:v>
                </c:pt>
                <c:pt idx="71">
                  <c:v>4.6609491700467904</c:v>
                </c:pt>
                <c:pt idx="72">
                  <c:v>4.60971160538611</c:v>
                </c:pt>
                <c:pt idx="73">
                  <c:v>4.5634296893647504</c:v>
                </c:pt>
                <c:pt idx="74">
                  <c:v>4.5096374375362203</c:v>
                </c:pt>
                <c:pt idx="75">
                  <c:v>4.63074198791226</c:v>
                </c:pt>
                <c:pt idx="76">
                  <c:v>4.6355940667916196</c:v>
                </c:pt>
                <c:pt idx="77">
                  <c:v>4.5309507181046396</c:v>
                </c:pt>
                <c:pt idx="78">
                  <c:v>4.6305370760745204</c:v>
                </c:pt>
                <c:pt idx="79">
                  <c:v>4.6114447281046997</c:v>
                </c:pt>
                <c:pt idx="80">
                  <c:v>4.60313193721551</c:v>
                </c:pt>
                <c:pt idx="81">
                  <c:v>4.6279142012957397</c:v>
                </c:pt>
                <c:pt idx="82">
                  <c:v>4.6008834621645001</c:v>
                </c:pt>
                <c:pt idx="83">
                  <c:v>4.52688422784402</c:v>
                </c:pt>
                <c:pt idx="84">
                  <c:v>4.6124963724399803</c:v>
                </c:pt>
                <c:pt idx="85">
                  <c:v>4.6064147992925601</c:v>
                </c:pt>
                <c:pt idx="86">
                  <c:v>4.5885343597672099</c:v>
                </c:pt>
                <c:pt idx="87">
                  <c:v>4.5897676429227801</c:v>
                </c:pt>
                <c:pt idx="88">
                  <c:v>4.6180448535282297</c:v>
                </c:pt>
                <c:pt idx="89">
                  <c:v>4.6304172850433396</c:v>
                </c:pt>
                <c:pt idx="90">
                  <c:v>4.6223511649976103</c:v>
                </c:pt>
                <c:pt idx="91">
                  <c:v>4.5839592742686701</c:v>
                </c:pt>
                <c:pt idx="92">
                  <c:v>4.5806357609755999</c:v>
                </c:pt>
                <c:pt idx="93">
                  <c:v>4.6527140646963003</c:v>
                </c:pt>
                <c:pt idx="94">
                  <c:v>4.5977138531387798</c:v>
                </c:pt>
                <c:pt idx="95">
                  <c:v>4.5781149424193099</c:v>
                </c:pt>
                <c:pt idx="96">
                  <c:v>4.58367833955867</c:v>
                </c:pt>
                <c:pt idx="97">
                  <c:v>4.6497580649243497</c:v>
                </c:pt>
                <c:pt idx="98">
                  <c:v>4.5980234394937103</c:v>
                </c:pt>
                <c:pt idx="99">
                  <c:v>4.6182555278675599</c:v>
                </c:pt>
                <c:pt idx="100">
                  <c:v>4.6151953144388598</c:v>
                </c:pt>
                <c:pt idx="101">
                  <c:v>4.5377745666129803</c:v>
                </c:pt>
                <c:pt idx="102">
                  <c:v>4.5994687940819396</c:v>
                </c:pt>
                <c:pt idx="103">
                  <c:v>4.5814739031588196</c:v>
                </c:pt>
                <c:pt idx="104">
                  <c:v>4.4650248889704303</c:v>
                </c:pt>
                <c:pt idx="105">
                  <c:v>4.5477419429305499</c:v>
                </c:pt>
                <c:pt idx="106">
                  <c:v>4.5898366368475498</c:v>
                </c:pt>
                <c:pt idx="107">
                  <c:v>4.5721982876686598</c:v>
                </c:pt>
                <c:pt idx="108">
                  <c:v>4.6163766784977902</c:v>
                </c:pt>
                <c:pt idx="109">
                  <c:v>4.6861085051212701</c:v>
                </c:pt>
                <c:pt idx="110">
                  <c:v>4.5566218946079804</c:v>
                </c:pt>
                <c:pt idx="111">
                  <c:v>4.6419137920790501</c:v>
                </c:pt>
                <c:pt idx="112">
                  <c:v>4.6045690427628898</c:v>
                </c:pt>
                <c:pt idx="113">
                  <c:v>4.6247382226276201</c:v>
                </c:pt>
                <c:pt idx="114">
                  <c:v>4.6032431596046797</c:v>
                </c:pt>
                <c:pt idx="115">
                  <c:v>4.5824643299362</c:v>
                </c:pt>
                <c:pt idx="116">
                  <c:v>4.6319543176428004</c:v>
                </c:pt>
                <c:pt idx="117">
                  <c:v>4.6477915545291504</c:v>
                </c:pt>
                <c:pt idx="118">
                  <c:v>4.6302408540082096</c:v>
                </c:pt>
                <c:pt idx="119">
                  <c:v>4.6276006996547503</c:v>
                </c:pt>
                <c:pt idx="120">
                  <c:v>4.6426357414247503</c:v>
                </c:pt>
                <c:pt idx="121">
                  <c:v>4.6256879945839096</c:v>
                </c:pt>
                <c:pt idx="122">
                  <c:v>4.5780315379638896</c:v>
                </c:pt>
                <c:pt idx="123">
                  <c:v>4.5425264640081702</c:v>
                </c:pt>
                <c:pt idx="124">
                  <c:v>4.6732914771467904</c:v>
                </c:pt>
                <c:pt idx="125">
                  <c:v>4.5309085151768898</c:v>
                </c:pt>
                <c:pt idx="126">
                  <c:v>4.6429942343371504</c:v>
                </c:pt>
                <c:pt idx="127">
                  <c:v>4.6400850872273498</c:v>
                </c:pt>
                <c:pt idx="128">
                  <c:v>4.6377969340684997</c:v>
                </c:pt>
                <c:pt idx="129">
                  <c:v>4.6011907837054</c:v>
                </c:pt>
                <c:pt idx="130">
                  <c:v>4.6117884984702098</c:v>
                </c:pt>
                <c:pt idx="131">
                  <c:v>4.6337525341810499</c:v>
                </c:pt>
                <c:pt idx="132">
                  <c:v>4.6161639278165101</c:v>
                </c:pt>
                <c:pt idx="133">
                  <c:v>4.6188317824313501</c:v>
                </c:pt>
                <c:pt idx="134">
                  <c:v>4.6524072766075504</c:v>
                </c:pt>
                <c:pt idx="135">
                  <c:v>4.7240257534246304</c:v>
                </c:pt>
                <c:pt idx="136">
                  <c:v>4.6292420841871698</c:v>
                </c:pt>
                <c:pt idx="137">
                  <c:v>4.6054204753424104</c:v>
                </c:pt>
                <c:pt idx="138">
                  <c:v>4.5294523550191803</c:v>
                </c:pt>
                <c:pt idx="139">
                  <c:v>4.60846888349419</c:v>
                </c:pt>
                <c:pt idx="140">
                  <c:v>4.5750065799055504</c:v>
                </c:pt>
                <c:pt idx="141">
                  <c:v>4.8146400656711501</c:v>
                </c:pt>
                <c:pt idx="142">
                  <c:v>4.5948166755202804</c:v>
                </c:pt>
                <c:pt idx="143">
                  <c:v>4.5341754400480898</c:v>
                </c:pt>
                <c:pt idx="144">
                  <c:v>4.6006276219551596</c:v>
                </c:pt>
                <c:pt idx="145">
                  <c:v>4.6246258010353296</c:v>
                </c:pt>
                <c:pt idx="146">
                  <c:v>4.3921644892559</c:v>
                </c:pt>
                <c:pt idx="147">
                  <c:v>4.4944462849448898</c:v>
                </c:pt>
                <c:pt idx="148">
                  <c:v>4.5274572033298996</c:v>
                </c:pt>
                <c:pt idx="149">
                  <c:v>4.6214467745576604</c:v>
                </c:pt>
                <c:pt idx="150">
                  <c:v>4.5874674326926597</c:v>
                </c:pt>
                <c:pt idx="151">
                  <c:v>4.6083028134685797</c:v>
                </c:pt>
                <c:pt idx="152">
                  <c:v>4.5352063269875602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C1-374F-9D6E-9129B8B45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641024"/>
        <c:axId val="1870652592"/>
      </c:scatterChart>
      <c:valAx>
        <c:axId val="18706410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人均价格</a:t>
                </a:r>
                <a:r>
                  <a:rPr lang="en-US" altLang="zh-CN"/>
                  <a:t>/¥ Average price per person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0652592"/>
        <c:crosses val="autoZero"/>
        <c:crossBetween val="midCat"/>
      </c:valAx>
      <c:valAx>
        <c:axId val="18706525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总评分 </a:t>
                </a:r>
                <a:r>
                  <a:rPr lang="en-US" altLang="zh-CN"/>
                  <a:t>Total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0641024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Normal Probability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2231677033246297E-2"/>
          <c:y val="0.389042454120063"/>
          <c:w val="0.84030099452641305"/>
          <c:h val="0.46368471777886999"/>
        </c:manualLayout>
      </c:layout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</c:spPr>
          <c:xVal>
            <c:numRef>
              <c:f>Sheet3!$F$30:$F$182</c:f>
              <c:numCache>
                <c:formatCode>General</c:formatCode>
                <c:ptCount val="153"/>
                <c:pt idx="0">
                  <c:v>0.32679738562091498</c:v>
                </c:pt>
                <c:pt idx="1">
                  <c:v>0.98039215686274495</c:v>
                </c:pt>
                <c:pt idx="2">
                  <c:v>1.63398692810458</c:v>
                </c:pt>
                <c:pt idx="3">
                  <c:v>2.28758169934641</c:v>
                </c:pt>
                <c:pt idx="4">
                  <c:v>2.9411764705882399</c:v>
                </c:pt>
                <c:pt idx="5">
                  <c:v>3.5947712418300699</c:v>
                </c:pt>
                <c:pt idx="6">
                  <c:v>4.2483660130718999</c:v>
                </c:pt>
                <c:pt idx="7">
                  <c:v>4.9019607843137196</c:v>
                </c:pt>
                <c:pt idx="8">
                  <c:v>5.5555555555555598</c:v>
                </c:pt>
                <c:pt idx="9">
                  <c:v>6.2091503267973902</c:v>
                </c:pt>
                <c:pt idx="10">
                  <c:v>6.8627450980392197</c:v>
                </c:pt>
                <c:pt idx="11">
                  <c:v>7.5163398692810501</c:v>
                </c:pt>
                <c:pt idx="12">
                  <c:v>8.1699346405228805</c:v>
                </c:pt>
                <c:pt idx="13">
                  <c:v>8.8235294117647101</c:v>
                </c:pt>
                <c:pt idx="14">
                  <c:v>9.4771241830065396</c:v>
                </c:pt>
                <c:pt idx="15">
                  <c:v>10.130718954248399</c:v>
                </c:pt>
                <c:pt idx="16">
                  <c:v>10.7843137254902</c:v>
                </c:pt>
                <c:pt idx="17">
                  <c:v>11.437908496732</c:v>
                </c:pt>
                <c:pt idx="18">
                  <c:v>12.0915032679739</c:v>
                </c:pt>
                <c:pt idx="19">
                  <c:v>12.7450980392157</c:v>
                </c:pt>
                <c:pt idx="20">
                  <c:v>13.398692810457501</c:v>
                </c:pt>
                <c:pt idx="21">
                  <c:v>14.0522875816993</c:v>
                </c:pt>
                <c:pt idx="22">
                  <c:v>14.705882352941201</c:v>
                </c:pt>
                <c:pt idx="23">
                  <c:v>15.359477124183</c:v>
                </c:pt>
                <c:pt idx="24">
                  <c:v>16.013071895424801</c:v>
                </c:pt>
                <c:pt idx="25">
                  <c:v>16.6666666666667</c:v>
                </c:pt>
                <c:pt idx="26">
                  <c:v>17.320261437908499</c:v>
                </c:pt>
                <c:pt idx="27">
                  <c:v>17.973856209150298</c:v>
                </c:pt>
                <c:pt idx="28">
                  <c:v>18.627450980392201</c:v>
                </c:pt>
                <c:pt idx="29">
                  <c:v>19.281045751634</c:v>
                </c:pt>
                <c:pt idx="30">
                  <c:v>19.934640522875799</c:v>
                </c:pt>
                <c:pt idx="31">
                  <c:v>20.588235294117599</c:v>
                </c:pt>
                <c:pt idx="32">
                  <c:v>21.241830065359501</c:v>
                </c:pt>
                <c:pt idx="33">
                  <c:v>21.8954248366013</c:v>
                </c:pt>
                <c:pt idx="34">
                  <c:v>22.5490196078431</c:v>
                </c:pt>
                <c:pt idx="35">
                  <c:v>23.202614379084999</c:v>
                </c:pt>
                <c:pt idx="36">
                  <c:v>23.856209150326801</c:v>
                </c:pt>
                <c:pt idx="37">
                  <c:v>24.509803921568601</c:v>
                </c:pt>
                <c:pt idx="38">
                  <c:v>25.1633986928105</c:v>
                </c:pt>
                <c:pt idx="39">
                  <c:v>25.816993464052299</c:v>
                </c:pt>
                <c:pt idx="40">
                  <c:v>26.470588235294102</c:v>
                </c:pt>
                <c:pt idx="41">
                  <c:v>27.124183006535901</c:v>
                </c:pt>
                <c:pt idx="42">
                  <c:v>27.7777777777778</c:v>
                </c:pt>
                <c:pt idx="43">
                  <c:v>28.431372549019599</c:v>
                </c:pt>
                <c:pt idx="44">
                  <c:v>29.084967320261399</c:v>
                </c:pt>
                <c:pt idx="45">
                  <c:v>29.738562091503301</c:v>
                </c:pt>
                <c:pt idx="46">
                  <c:v>30.3921568627451</c:v>
                </c:pt>
                <c:pt idx="47">
                  <c:v>31.0457516339869</c:v>
                </c:pt>
                <c:pt idx="48">
                  <c:v>31.699346405228798</c:v>
                </c:pt>
                <c:pt idx="49">
                  <c:v>32.352941176470601</c:v>
                </c:pt>
                <c:pt idx="50">
                  <c:v>33.006535947712401</c:v>
                </c:pt>
                <c:pt idx="51">
                  <c:v>33.6601307189542</c:v>
                </c:pt>
                <c:pt idx="52">
                  <c:v>34.313725490196099</c:v>
                </c:pt>
                <c:pt idx="53">
                  <c:v>34.967320261437898</c:v>
                </c:pt>
                <c:pt idx="54">
                  <c:v>35.620915032679697</c:v>
                </c:pt>
                <c:pt idx="55">
                  <c:v>36.274509803921603</c:v>
                </c:pt>
                <c:pt idx="56">
                  <c:v>36.928104575163403</c:v>
                </c:pt>
                <c:pt idx="57">
                  <c:v>37.581699346405202</c:v>
                </c:pt>
                <c:pt idx="58">
                  <c:v>38.235294117647101</c:v>
                </c:pt>
                <c:pt idx="59">
                  <c:v>38.8888888888889</c:v>
                </c:pt>
                <c:pt idx="60">
                  <c:v>39.542483660130699</c:v>
                </c:pt>
                <c:pt idx="61">
                  <c:v>40.196078431372499</c:v>
                </c:pt>
                <c:pt idx="62">
                  <c:v>40.849673202614397</c:v>
                </c:pt>
                <c:pt idx="63">
                  <c:v>41.503267973856197</c:v>
                </c:pt>
                <c:pt idx="64">
                  <c:v>42.156862745098003</c:v>
                </c:pt>
                <c:pt idx="65">
                  <c:v>42.810457516339902</c:v>
                </c:pt>
                <c:pt idx="66">
                  <c:v>43.464052287581701</c:v>
                </c:pt>
                <c:pt idx="67">
                  <c:v>44.117647058823501</c:v>
                </c:pt>
                <c:pt idx="68">
                  <c:v>44.771241830065399</c:v>
                </c:pt>
                <c:pt idx="69">
                  <c:v>45.424836601307199</c:v>
                </c:pt>
                <c:pt idx="70">
                  <c:v>46.078431372548998</c:v>
                </c:pt>
                <c:pt idx="71">
                  <c:v>46.732026143790797</c:v>
                </c:pt>
                <c:pt idx="72">
                  <c:v>47.385620915032703</c:v>
                </c:pt>
                <c:pt idx="73">
                  <c:v>48.039215686274503</c:v>
                </c:pt>
                <c:pt idx="74">
                  <c:v>48.692810457516302</c:v>
                </c:pt>
                <c:pt idx="75">
                  <c:v>49.346405228758201</c:v>
                </c:pt>
                <c:pt idx="76">
                  <c:v>50</c:v>
                </c:pt>
                <c:pt idx="77">
                  <c:v>50.653594771241799</c:v>
                </c:pt>
                <c:pt idx="78">
                  <c:v>51.307189542483698</c:v>
                </c:pt>
                <c:pt idx="79">
                  <c:v>51.960784313725497</c:v>
                </c:pt>
                <c:pt idx="80">
                  <c:v>52.614379084967297</c:v>
                </c:pt>
                <c:pt idx="81">
                  <c:v>53.267973856209203</c:v>
                </c:pt>
                <c:pt idx="82">
                  <c:v>53.921568627451002</c:v>
                </c:pt>
                <c:pt idx="83">
                  <c:v>54.575163398692801</c:v>
                </c:pt>
                <c:pt idx="84">
                  <c:v>55.228758169934601</c:v>
                </c:pt>
                <c:pt idx="85">
                  <c:v>55.882352941176499</c:v>
                </c:pt>
                <c:pt idx="86">
                  <c:v>56.535947712418299</c:v>
                </c:pt>
                <c:pt idx="87">
                  <c:v>57.189542483660098</c:v>
                </c:pt>
                <c:pt idx="88">
                  <c:v>57.843137254901997</c:v>
                </c:pt>
                <c:pt idx="89">
                  <c:v>58.496732026143803</c:v>
                </c:pt>
                <c:pt idx="90">
                  <c:v>59.150326797385603</c:v>
                </c:pt>
                <c:pt idx="91">
                  <c:v>59.803921568627501</c:v>
                </c:pt>
                <c:pt idx="92">
                  <c:v>60.457516339869301</c:v>
                </c:pt>
                <c:pt idx="93">
                  <c:v>61.1111111111111</c:v>
                </c:pt>
                <c:pt idx="94">
                  <c:v>61.764705882352899</c:v>
                </c:pt>
                <c:pt idx="95">
                  <c:v>62.418300653594798</c:v>
                </c:pt>
                <c:pt idx="96">
                  <c:v>63.071895424836597</c:v>
                </c:pt>
                <c:pt idx="97">
                  <c:v>63.725490196078397</c:v>
                </c:pt>
                <c:pt idx="98">
                  <c:v>64.379084967320296</c:v>
                </c:pt>
                <c:pt idx="99">
                  <c:v>65.032679738562095</c:v>
                </c:pt>
                <c:pt idx="100">
                  <c:v>65.686274509803894</c:v>
                </c:pt>
                <c:pt idx="101">
                  <c:v>66.339869281045793</c:v>
                </c:pt>
                <c:pt idx="102">
                  <c:v>66.993464052287607</c:v>
                </c:pt>
                <c:pt idx="103">
                  <c:v>67.647058823529406</c:v>
                </c:pt>
                <c:pt idx="104">
                  <c:v>68.300653594771205</c:v>
                </c:pt>
                <c:pt idx="105">
                  <c:v>68.954248366013104</c:v>
                </c:pt>
                <c:pt idx="106">
                  <c:v>69.607843137254903</c:v>
                </c:pt>
                <c:pt idx="107">
                  <c:v>70.261437908496703</c:v>
                </c:pt>
                <c:pt idx="108">
                  <c:v>70.915032679738601</c:v>
                </c:pt>
                <c:pt idx="109">
                  <c:v>71.568627450980401</c:v>
                </c:pt>
                <c:pt idx="110">
                  <c:v>72.2222222222222</c:v>
                </c:pt>
                <c:pt idx="111">
                  <c:v>72.875816993464099</c:v>
                </c:pt>
                <c:pt idx="112">
                  <c:v>73.529411764705898</c:v>
                </c:pt>
                <c:pt idx="113">
                  <c:v>74.183006535947698</c:v>
                </c:pt>
                <c:pt idx="114">
                  <c:v>74.836601307189596</c:v>
                </c:pt>
                <c:pt idx="115">
                  <c:v>75.490196078431396</c:v>
                </c:pt>
                <c:pt idx="116">
                  <c:v>76.143790849673195</c:v>
                </c:pt>
                <c:pt idx="117">
                  <c:v>76.797385620914994</c:v>
                </c:pt>
                <c:pt idx="118">
                  <c:v>77.450980392156893</c:v>
                </c:pt>
                <c:pt idx="119">
                  <c:v>78.104575163398707</c:v>
                </c:pt>
                <c:pt idx="120">
                  <c:v>78.758169934640506</c:v>
                </c:pt>
                <c:pt idx="121">
                  <c:v>79.411764705882405</c:v>
                </c:pt>
                <c:pt idx="122">
                  <c:v>80.065359477124204</c:v>
                </c:pt>
                <c:pt idx="123">
                  <c:v>80.718954248366003</c:v>
                </c:pt>
                <c:pt idx="124">
                  <c:v>81.372549019607803</c:v>
                </c:pt>
                <c:pt idx="125">
                  <c:v>82.026143790849702</c:v>
                </c:pt>
                <c:pt idx="126">
                  <c:v>82.679738562091501</c:v>
                </c:pt>
                <c:pt idx="127">
                  <c:v>83.3333333333333</c:v>
                </c:pt>
                <c:pt idx="128">
                  <c:v>83.986928104575199</c:v>
                </c:pt>
                <c:pt idx="129">
                  <c:v>84.640522875816998</c:v>
                </c:pt>
                <c:pt idx="130">
                  <c:v>85.294117647058798</c:v>
                </c:pt>
                <c:pt idx="131">
                  <c:v>85.947712418300696</c:v>
                </c:pt>
                <c:pt idx="132">
                  <c:v>86.601307189542496</c:v>
                </c:pt>
                <c:pt idx="133">
                  <c:v>87.254901960784295</c:v>
                </c:pt>
                <c:pt idx="134">
                  <c:v>87.908496732026194</c:v>
                </c:pt>
                <c:pt idx="135">
                  <c:v>88.562091503267993</c:v>
                </c:pt>
                <c:pt idx="136">
                  <c:v>89.215686274509807</c:v>
                </c:pt>
                <c:pt idx="137">
                  <c:v>89.869281045751606</c:v>
                </c:pt>
                <c:pt idx="138">
                  <c:v>90.522875816993505</c:v>
                </c:pt>
                <c:pt idx="139">
                  <c:v>91.176470588235304</c:v>
                </c:pt>
                <c:pt idx="140">
                  <c:v>91.830065359477103</c:v>
                </c:pt>
                <c:pt idx="141">
                  <c:v>92.483660130719002</c:v>
                </c:pt>
                <c:pt idx="142">
                  <c:v>93.137254901960802</c:v>
                </c:pt>
                <c:pt idx="143">
                  <c:v>93.790849673202601</c:v>
                </c:pt>
                <c:pt idx="144">
                  <c:v>94.4444444444445</c:v>
                </c:pt>
                <c:pt idx="145">
                  <c:v>95.098039215686299</c:v>
                </c:pt>
                <c:pt idx="146">
                  <c:v>95.751633986928098</c:v>
                </c:pt>
                <c:pt idx="147">
                  <c:v>96.405228758169898</c:v>
                </c:pt>
                <c:pt idx="148">
                  <c:v>97.058823529411796</c:v>
                </c:pt>
                <c:pt idx="149">
                  <c:v>97.712418300653596</c:v>
                </c:pt>
                <c:pt idx="150">
                  <c:v>98.366013071895395</c:v>
                </c:pt>
                <c:pt idx="151">
                  <c:v>99.019607843137294</c:v>
                </c:pt>
                <c:pt idx="152">
                  <c:v>99.673202614379093</c:v>
                </c:pt>
              </c:numCache>
            </c:numRef>
          </c:xVal>
          <c:yVal>
            <c:numRef>
              <c:f>Sheet3!$G$30:$G$182</c:f>
              <c:numCache>
                <c:formatCode>General</c:formatCode>
                <c:ptCount val="153"/>
                <c:pt idx="0">
                  <c:v>4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4.2</c:v>
                </c:pt>
                <c:pt idx="5">
                  <c:v>4.3</c:v>
                </c:pt>
                <c:pt idx="6">
                  <c:v>4.3</c:v>
                </c:pt>
                <c:pt idx="7">
                  <c:v>4.3</c:v>
                </c:pt>
                <c:pt idx="8">
                  <c:v>4.3</c:v>
                </c:pt>
                <c:pt idx="9">
                  <c:v>4.3</c:v>
                </c:pt>
                <c:pt idx="10">
                  <c:v>4.3</c:v>
                </c:pt>
                <c:pt idx="11">
                  <c:v>4.3</c:v>
                </c:pt>
                <c:pt idx="12">
                  <c:v>4.3</c:v>
                </c:pt>
                <c:pt idx="13">
                  <c:v>4.3</c:v>
                </c:pt>
                <c:pt idx="14">
                  <c:v>4.3</c:v>
                </c:pt>
                <c:pt idx="15">
                  <c:v>4.3</c:v>
                </c:pt>
                <c:pt idx="16">
                  <c:v>4.4000000000000004</c:v>
                </c:pt>
                <c:pt idx="17">
                  <c:v>4.4000000000000004</c:v>
                </c:pt>
                <c:pt idx="18">
                  <c:v>4.4000000000000004</c:v>
                </c:pt>
                <c:pt idx="19">
                  <c:v>4.4000000000000004</c:v>
                </c:pt>
                <c:pt idx="20">
                  <c:v>4.4000000000000004</c:v>
                </c:pt>
                <c:pt idx="21">
                  <c:v>4.4000000000000004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4.4000000000000004</c:v>
                </c:pt>
                <c:pt idx="25">
                  <c:v>4.4000000000000004</c:v>
                </c:pt>
                <c:pt idx="26">
                  <c:v>4.4000000000000004</c:v>
                </c:pt>
                <c:pt idx="27">
                  <c:v>4.4000000000000004</c:v>
                </c:pt>
                <c:pt idx="28">
                  <c:v>4.4000000000000004</c:v>
                </c:pt>
                <c:pt idx="29">
                  <c:v>4.4000000000000004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4.4000000000000004</c:v>
                </c:pt>
                <c:pt idx="33">
                  <c:v>4.4000000000000004</c:v>
                </c:pt>
                <c:pt idx="34">
                  <c:v>4.4000000000000004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</c:v>
                </c:pt>
                <c:pt idx="42">
                  <c:v>4.5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4.5</c:v>
                </c:pt>
                <c:pt idx="48">
                  <c:v>4.5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4.5</c:v>
                </c:pt>
                <c:pt idx="53">
                  <c:v>4.5</c:v>
                </c:pt>
                <c:pt idx="54">
                  <c:v>4.5</c:v>
                </c:pt>
                <c:pt idx="55">
                  <c:v>4.5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4.5999999999999996</c:v>
                </c:pt>
                <c:pt idx="61">
                  <c:v>4.5999999999999996</c:v>
                </c:pt>
                <c:pt idx="62">
                  <c:v>4.5999999999999996</c:v>
                </c:pt>
                <c:pt idx="63">
                  <c:v>4.5999999999999996</c:v>
                </c:pt>
                <c:pt idx="64">
                  <c:v>4.5999999999999996</c:v>
                </c:pt>
                <c:pt idx="65">
                  <c:v>4.5999999999999996</c:v>
                </c:pt>
                <c:pt idx="66">
                  <c:v>4.5999999999999996</c:v>
                </c:pt>
                <c:pt idx="67">
                  <c:v>4.5999999999999996</c:v>
                </c:pt>
                <c:pt idx="68">
                  <c:v>4.5999999999999996</c:v>
                </c:pt>
                <c:pt idx="69">
                  <c:v>4.5999999999999996</c:v>
                </c:pt>
                <c:pt idx="70">
                  <c:v>4.5999999999999996</c:v>
                </c:pt>
                <c:pt idx="71">
                  <c:v>4.5999999999999996</c:v>
                </c:pt>
                <c:pt idx="72">
                  <c:v>4.5999999999999996</c:v>
                </c:pt>
                <c:pt idx="73">
                  <c:v>4.5999999999999996</c:v>
                </c:pt>
                <c:pt idx="74">
                  <c:v>4.5999999999999996</c:v>
                </c:pt>
                <c:pt idx="75">
                  <c:v>4.5999999999999996</c:v>
                </c:pt>
                <c:pt idx="76">
                  <c:v>4.5999999999999996</c:v>
                </c:pt>
                <c:pt idx="77">
                  <c:v>4.5999999999999996</c:v>
                </c:pt>
                <c:pt idx="78">
                  <c:v>4.5999999999999996</c:v>
                </c:pt>
                <c:pt idx="79">
                  <c:v>4.5999999999999996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4.5999999999999996</c:v>
                </c:pt>
                <c:pt idx="85">
                  <c:v>4.5999999999999996</c:v>
                </c:pt>
                <c:pt idx="86">
                  <c:v>4.5999999999999996</c:v>
                </c:pt>
                <c:pt idx="87">
                  <c:v>4.5999999999999996</c:v>
                </c:pt>
                <c:pt idx="88">
                  <c:v>4.5999999999999996</c:v>
                </c:pt>
                <c:pt idx="89">
                  <c:v>4.5999999999999996</c:v>
                </c:pt>
                <c:pt idx="90">
                  <c:v>4.7</c:v>
                </c:pt>
                <c:pt idx="91">
                  <c:v>4.7</c:v>
                </c:pt>
                <c:pt idx="92">
                  <c:v>4.7</c:v>
                </c:pt>
                <c:pt idx="93">
                  <c:v>4.7</c:v>
                </c:pt>
                <c:pt idx="94">
                  <c:v>4.7</c:v>
                </c:pt>
                <c:pt idx="95">
                  <c:v>4.7</c:v>
                </c:pt>
                <c:pt idx="96">
                  <c:v>4.7</c:v>
                </c:pt>
                <c:pt idx="97">
                  <c:v>4.7</c:v>
                </c:pt>
                <c:pt idx="98">
                  <c:v>4.7</c:v>
                </c:pt>
                <c:pt idx="99">
                  <c:v>4.7</c:v>
                </c:pt>
                <c:pt idx="100">
                  <c:v>4.7</c:v>
                </c:pt>
                <c:pt idx="101">
                  <c:v>4.7</c:v>
                </c:pt>
                <c:pt idx="102">
                  <c:v>4.7</c:v>
                </c:pt>
                <c:pt idx="103">
                  <c:v>4.7</c:v>
                </c:pt>
                <c:pt idx="104">
                  <c:v>4.7</c:v>
                </c:pt>
                <c:pt idx="105">
                  <c:v>4.7</c:v>
                </c:pt>
                <c:pt idx="106">
                  <c:v>4.7</c:v>
                </c:pt>
                <c:pt idx="107">
                  <c:v>4.7</c:v>
                </c:pt>
                <c:pt idx="108">
                  <c:v>4.7</c:v>
                </c:pt>
                <c:pt idx="109">
                  <c:v>4.7</c:v>
                </c:pt>
                <c:pt idx="110">
                  <c:v>4.7</c:v>
                </c:pt>
                <c:pt idx="111">
                  <c:v>4.7</c:v>
                </c:pt>
                <c:pt idx="112">
                  <c:v>4.7</c:v>
                </c:pt>
                <c:pt idx="113">
                  <c:v>4.7</c:v>
                </c:pt>
                <c:pt idx="114">
                  <c:v>4.7</c:v>
                </c:pt>
                <c:pt idx="115">
                  <c:v>4.8</c:v>
                </c:pt>
                <c:pt idx="116">
                  <c:v>4.8</c:v>
                </c:pt>
                <c:pt idx="117">
                  <c:v>4.8</c:v>
                </c:pt>
                <c:pt idx="118">
                  <c:v>4.8</c:v>
                </c:pt>
                <c:pt idx="119">
                  <c:v>4.8</c:v>
                </c:pt>
                <c:pt idx="120">
                  <c:v>4.8</c:v>
                </c:pt>
                <c:pt idx="121">
                  <c:v>4.8</c:v>
                </c:pt>
                <c:pt idx="122">
                  <c:v>4.8</c:v>
                </c:pt>
                <c:pt idx="123">
                  <c:v>4.8</c:v>
                </c:pt>
                <c:pt idx="124">
                  <c:v>4.8</c:v>
                </c:pt>
                <c:pt idx="125">
                  <c:v>4.8</c:v>
                </c:pt>
                <c:pt idx="126">
                  <c:v>4.8</c:v>
                </c:pt>
                <c:pt idx="127">
                  <c:v>4.8</c:v>
                </c:pt>
                <c:pt idx="128">
                  <c:v>4.8</c:v>
                </c:pt>
                <c:pt idx="129">
                  <c:v>4.8</c:v>
                </c:pt>
                <c:pt idx="130">
                  <c:v>4.8</c:v>
                </c:pt>
                <c:pt idx="131">
                  <c:v>4.8</c:v>
                </c:pt>
                <c:pt idx="132">
                  <c:v>4.8</c:v>
                </c:pt>
                <c:pt idx="133">
                  <c:v>4.8</c:v>
                </c:pt>
                <c:pt idx="134">
                  <c:v>4.8</c:v>
                </c:pt>
                <c:pt idx="135">
                  <c:v>4.8</c:v>
                </c:pt>
                <c:pt idx="136">
                  <c:v>4.8</c:v>
                </c:pt>
                <c:pt idx="137">
                  <c:v>4.8</c:v>
                </c:pt>
                <c:pt idx="138">
                  <c:v>4.8</c:v>
                </c:pt>
                <c:pt idx="139">
                  <c:v>4.8</c:v>
                </c:pt>
                <c:pt idx="140">
                  <c:v>4.8</c:v>
                </c:pt>
                <c:pt idx="141">
                  <c:v>4.8</c:v>
                </c:pt>
                <c:pt idx="142">
                  <c:v>4.8</c:v>
                </c:pt>
                <c:pt idx="143">
                  <c:v>4.8</c:v>
                </c:pt>
                <c:pt idx="144">
                  <c:v>4.8</c:v>
                </c:pt>
                <c:pt idx="145">
                  <c:v>4.8</c:v>
                </c:pt>
                <c:pt idx="146">
                  <c:v>4.8</c:v>
                </c:pt>
                <c:pt idx="147">
                  <c:v>4.8</c:v>
                </c:pt>
                <c:pt idx="148">
                  <c:v>4.8</c:v>
                </c:pt>
                <c:pt idx="149">
                  <c:v>4.8</c:v>
                </c:pt>
                <c:pt idx="150">
                  <c:v>4.9000000000000004</c:v>
                </c:pt>
                <c:pt idx="151">
                  <c:v>4.9000000000000004</c:v>
                </c:pt>
                <c:pt idx="152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60-DA45-8753-F39498163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034959"/>
        <c:axId val="882037231"/>
      </c:scatterChart>
      <c:valAx>
        <c:axId val="8820349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2037231"/>
        <c:crosses val="autoZero"/>
        <c:crossBetween val="midCat"/>
      </c:valAx>
      <c:valAx>
        <c:axId val="88203723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总评分 </a:t>
                </a:r>
                <a:r>
                  <a:rPr lang="en-US" altLang="zh-CN"/>
                  <a:t>Total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203495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279400</xdr:colOff>
      <xdr:row>5</xdr:row>
      <xdr:rowOff>63500</xdr:rowOff>
    </xdr:from>
    <xdr:to>
      <xdr:col>17</xdr:col>
      <xdr:colOff>279400</xdr:colOff>
      <xdr:row>15</xdr:row>
      <xdr:rowOff>50800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279400</xdr:colOff>
      <xdr:row>7</xdr:row>
      <xdr:rowOff>63500</xdr:rowOff>
    </xdr:from>
    <xdr:to>
      <xdr:col>18</xdr:col>
      <xdr:colOff>279400</xdr:colOff>
      <xdr:row>17</xdr:row>
      <xdr:rowOff>63500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279400</xdr:colOff>
      <xdr:row>9</xdr:row>
      <xdr:rowOff>63500</xdr:rowOff>
    </xdr:from>
    <xdr:to>
      <xdr:col>19</xdr:col>
      <xdr:colOff>279400</xdr:colOff>
      <xdr:row>19</xdr:row>
      <xdr:rowOff>63500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279400</xdr:colOff>
      <xdr:row>11</xdr:row>
      <xdr:rowOff>63500</xdr:rowOff>
    </xdr:from>
    <xdr:to>
      <xdr:col>20</xdr:col>
      <xdr:colOff>279400</xdr:colOff>
      <xdr:row>21</xdr:row>
      <xdr:rowOff>63500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428812</xdr:colOff>
      <xdr:row>18</xdr:row>
      <xdr:rowOff>93382</xdr:rowOff>
    </xdr:from>
    <xdr:to>
      <xdr:col>15</xdr:col>
      <xdr:colOff>428811</xdr:colOff>
      <xdr:row>28</xdr:row>
      <xdr:rowOff>80682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279400</xdr:colOff>
      <xdr:row>15</xdr:row>
      <xdr:rowOff>50800</xdr:rowOff>
    </xdr:from>
    <xdr:to>
      <xdr:col>22</xdr:col>
      <xdr:colOff>279400</xdr:colOff>
      <xdr:row>25</xdr:row>
      <xdr:rowOff>63500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279400</xdr:colOff>
      <xdr:row>17</xdr:row>
      <xdr:rowOff>63500</xdr:rowOff>
    </xdr:from>
    <xdr:to>
      <xdr:col>23</xdr:col>
      <xdr:colOff>279400</xdr:colOff>
      <xdr:row>27</xdr:row>
      <xdr:rowOff>63500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279400</xdr:colOff>
      <xdr:row>19</xdr:row>
      <xdr:rowOff>63500</xdr:rowOff>
    </xdr:from>
    <xdr:to>
      <xdr:col>24</xdr:col>
      <xdr:colOff>279400</xdr:colOff>
      <xdr:row>29</xdr:row>
      <xdr:rowOff>63500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608105</xdr:colOff>
      <xdr:row>29</xdr:row>
      <xdr:rowOff>63500</xdr:rowOff>
    </xdr:from>
    <xdr:to>
      <xdr:col>15</xdr:col>
      <xdr:colOff>608105</xdr:colOff>
      <xdr:row>39</xdr:row>
      <xdr:rowOff>63501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354106</xdr:colOff>
      <xdr:row>33</xdr:row>
      <xdr:rowOff>155388</xdr:rowOff>
    </xdr:from>
    <xdr:to>
      <xdr:col>20</xdr:col>
      <xdr:colOff>354106</xdr:colOff>
      <xdr:row>43</xdr:row>
      <xdr:rowOff>168089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354106</xdr:colOff>
      <xdr:row>34</xdr:row>
      <xdr:rowOff>63501</xdr:rowOff>
    </xdr:from>
    <xdr:to>
      <xdr:col>26</xdr:col>
      <xdr:colOff>354106</xdr:colOff>
      <xdr:row>44</xdr:row>
      <xdr:rowOff>63500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H25" sqref="H25"/>
    </sheetView>
  </sheetViews>
  <sheetFormatPr baseColWidth="10" defaultColWidth="11" defaultRowHeight="16"/>
  <sheetData>
    <row r="1" spans="1:9">
      <c r="A1" t="s">
        <v>0</v>
      </c>
    </row>
    <row r="3" spans="1:9">
      <c r="A3" s="12" t="s">
        <v>1</v>
      </c>
      <c r="B3" s="12"/>
    </row>
    <row r="4" spans="1:9">
      <c r="A4" t="s">
        <v>2</v>
      </c>
      <c r="B4">
        <v>0.93126715865967102</v>
      </c>
    </row>
    <row r="5" spans="1:9">
      <c r="A5" t="s">
        <v>3</v>
      </c>
      <c r="B5">
        <v>0.86725852079805699</v>
      </c>
    </row>
    <row r="6" spans="1:9">
      <c r="A6" t="s">
        <v>4</v>
      </c>
      <c r="B6">
        <v>0.86458587356580296</v>
      </c>
    </row>
    <row r="7" spans="1:9">
      <c r="A7" t="s">
        <v>5</v>
      </c>
      <c r="B7">
        <v>6.7873794154514902E-2</v>
      </c>
    </row>
    <row r="8" spans="1:9">
      <c r="A8" s="11" t="s">
        <v>6</v>
      </c>
      <c r="B8" s="11">
        <v>153</v>
      </c>
    </row>
    <row r="10" spans="1:9">
      <c r="A10" t="s">
        <v>7</v>
      </c>
    </row>
    <row r="11" spans="1:9">
      <c r="A11" s="10"/>
      <c r="B11" s="10" t="s">
        <v>8</v>
      </c>
      <c r="C11" s="10" t="s">
        <v>9</v>
      </c>
      <c r="D11" s="10" t="s">
        <v>10</v>
      </c>
      <c r="E11" s="10" t="s">
        <v>11</v>
      </c>
      <c r="F11" s="10" t="s">
        <v>12</v>
      </c>
    </row>
    <row r="12" spans="1:9">
      <c r="A12" t="s">
        <v>13</v>
      </c>
      <c r="B12">
        <v>3</v>
      </c>
      <c r="C12">
        <v>4.4846901731046103</v>
      </c>
      <c r="D12">
        <v>1.4948967243682001</v>
      </c>
      <c r="E12">
        <v>324.49419823606303</v>
      </c>
      <c r="F12">
        <v>4.2093883177931E-65</v>
      </c>
    </row>
    <row r="13" spans="1:9">
      <c r="A13" t="s">
        <v>14</v>
      </c>
      <c r="B13">
        <v>149</v>
      </c>
      <c r="C13">
        <v>0.68642093800648996</v>
      </c>
      <c r="D13">
        <v>4.6068519329294597E-3</v>
      </c>
    </row>
    <row r="14" spans="1:9">
      <c r="A14" s="11" t="s">
        <v>15</v>
      </c>
      <c r="B14" s="11">
        <v>152</v>
      </c>
      <c r="C14" s="11">
        <v>5.1711111111110997</v>
      </c>
      <c r="D14" s="11"/>
      <c r="E14" s="11"/>
      <c r="F14" s="11"/>
    </row>
    <row r="16" spans="1:9">
      <c r="A16" s="10"/>
      <c r="B16" s="10" t="s">
        <v>16</v>
      </c>
      <c r="C16" s="10" t="s">
        <v>5</v>
      </c>
      <c r="D16" s="10" t="s">
        <v>17</v>
      </c>
      <c r="E16" s="10" t="s">
        <v>18</v>
      </c>
      <c r="F16" s="10" t="s">
        <v>19</v>
      </c>
      <c r="G16" s="10" t="s">
        <v>20</v>
      </c>
      <c r="H16" s="10" t="s">
        <v>21</v>
      </c>
      <c r="I16" s="10" t="s">
        <v>22</v>
      </c>
    </row>
    <row r="17" spans="1:9">
      <c r="A17" t="s">
        <v>23</v>
      </c>
      <c r="B17">
        <v>0.236222804414013</v>
      </c>
      <c r="C17">
        <v>0.155605415046595</v>
      </c>
      <c r="D17">
        <v>1.51808858543437</v>
      </c>
      <c r="E17">
        <v>0.131111005421396</v>
      </c>
      <c r="F17">
        <v>-7.1255546237854406E-2</v>
      </c>
      <c r="G17">
        <v>0.54370115506588101</v>
      </c>
      <c r="H17">
        <v>-7.1255546237854406E-2</v>
      </c>
      <c r="I17">
        <v>0.54370115506588101</v>
      </c>
    </row>
    <row r="18" spans="1:9">
      <c r="A18" t="s">
        <v>24</v>
      </c>
      <c r="B18">
        <v>0.59555564948457596</v>
      </c>
      <c r="C18">
        <v>4.0542901474002399E-2</v>
      </c>
      <c r="D18">
        <v>14.6895172232917</v>
      </c>
      <c r="E18">
        <v>9.0689993358310597E-31</v>
      </c>
      <c r="F18">
        <v>0.515442341910193</v>
      </c>
      <c r="G18">
        <v>0.67566895705896002</v>
      </c>
      <c r="H18">
        <v>0.515442341910193</v>
      </c>
      <c r="I18">
        <v>0.67566895705896002</v>
      </c>
    </row>
    <row r="19" spans="1:9">
      <c r="A19" t="s">
        <v>25</v>
      </c>
      <c r="B19">
        <v>0.249235352414335</v>
      </c>
      <c r="C19">
        <v>5.3848714361936903E-2</v>
      </c>
      <c r="D19">
        <v>4.6284364514096499</v>
      </c>
      <c r="E19">
        <v>7.9516894092335995E-6</v>
      </c>
      <c r="F19">
        <v>0.14282958323352599</v>
      </c>
      <c r="G19">
        <v>0.35564112159514399</v>
      </c>
      <c r="H19">
        <v>0.14282958323352599</v>
      </c>
      <c r="I19">
        <v>0.35564112159514399</v>
      </c>
    </row>
    <row r="20" spans="1:9">
      <c r="A20" s="11" t="s">
        <v>26</v>
      </c>
      <c r="B20" s="11">
        <v>0.10045272578818</v>
      </c>
      <c r="C20" s="11">
        <v>5.53771566844901E-2</v>
      </c>
      <c r="D20" s="11">
        <v>1.81397406082993</v>
      </c>
      <c r="E20" s="11">
        <v>7.1693690600793405E-2</v>
      </c>
      <c r="F20" s="11">
        <v>-8.9732655633317296E-3</v>
      </c>
      <c r="G20" s="11">
        <v>0.209878717139692</v>
      </c>
      <c r="H20" s="11">
        <v>-8.9732655633317296E-3</v>
      </c>
      <c r="I20" s="11">
        <v>0.209878717139692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2"/>
  <sheetViews>
    <sheetView topLeftCell="A361" zoomScale="85" zoomScaleNormal="85" workbookViewId="0">
      <selection activeCell="V10" sqref="V10"/>
    </sheetView>
  </sheetViews>
  <sheetFormatPr baseColWidth="10" defaultColWidth="11" defaultRowHeight="16"/>
  <sheetData>
    <row r="1" spans="1:9">
      <c r="A1" t="s">
        <v>0</v>
      </c>
    </row>
    <row r="3" spans="1:9">
      <c r="A3" s="12" t="s">
        <v>1</v>
      </c>
      <c r="B3" s="12"/>
    </row>
    <row r="4" spans="1:9">
      <c r="A4" t="s">
        <v>2</v>
      </c>
      <c r="B4">
        <v>0.37348934149451302</v>
      </c>
    </row>
    <row r="5" spans="1:9">
      <c r="A5" t="s">
        <v>3</v>
      </c>
      <c r="B5">
        <v>0.13949428821000501</v>
      </c>
    </row>
    <row r="6" spans="1:9">
      <c r="A6" t="s">
        <v>4</v>
      </c>
      <c r="B6">
        <v>0.104131039780279</v>
      </c>
    </row>
    <row r="7" spans="1:9">
      <c r="A7" t="s">
        <v>5</v>
      </c>
      <c r="B7">
        <v>0.17457915438750499</v>
      </c>
    </row>
    <row r="8" spans="1:9">
      <c r="A8" s="11" t="s">
        <v>6</v>
      </c>
      <c r="B8" s="11">
        <v>153</v>
      </c>
    </row>
    <row r="10" spans="1:9">
      <c r="A10" t="s">
        <v>7</v>
      </c>
    </row>
    <row r="11" spans="1:9">
      <c r="A11" s="10"/>
      <c r="B11" s="10" t="s">
        <v>8</v>
      </c>
      <c r="C11" s="10" t="s">
        <v>9</v>
      </c>
      <c r="D11" s="10" t="s">
        <v>10</v>
      </c>
      <c r="E11" s="10" t="s">
        <v>11</v>
      </c>
      <c r="F11" s="10" t="s">
        <v>12</v>
      </c>
    </row>
    <row r="12" spans="1:9">
      <c r="A12" t="s">
        <v>13</v>
      </c>
      <c r="B12">
        <v>6</v>
      </c>
      <c r="C12">
        <v>0.72134046369929194</v>
      </c>
      <c r="D12">
        <v>0.120223410616549</v>
      </c>
      <c r="E12">
        <v>3.9446118330223401</v>
      </c>
      <c r="F12">
        <v>1.10012637586425E-3</v>
      </c>
    </row>
    <row r="13" spans="1:9">
      <c r="A13" t="s">
        <v>14</v>
      </c>
      <c r="B13">
        <v>146</v>
      </c>
      <c r="C13">
        <v>4.4497706474118104</v>
      </c>
      <c r="D13">
        <v>3.0477881146656199E-2</v>
      </c>
    </row>
    <row r="14" spans="1:9">
      <c r="A14" s="11" t="s">
        <v>15</v>
      </c>
      <c r="B14" s="11">
        <v>152</v>
      </c>
      <c r="C14" s="11">
        <v>5.1711111111110997</v>
      </c>
      <c r="D14" s="11"/>
      <c r="E14" s="11"/>
      <c r="F14" s="11"/>
    </row>
    <row r="16" spans="1:9">
      <c r="A16" s="10"/>
      <c r="B16" s="10" t="s">
        <v>16</v>
      </c>
      <c r="C16" s="10" t="s">
        <v>5</v>
      </c>
      <c r="D16" s="10" t="s">
        <v>17</v>
      </c>
      <c r="E16" s="10" t="s">
        <v>18</v>
      </c>
      <c r="F16" s="10" t="s">
        <v>19</v>
      </c>
      <c r="G16" s="10" t="s">
        <v>20</v>
      </c>
      <c r="H16" s="10" t="s">
        <v>21</v>
      </c>
      <c r="I16" s="10" t="s">
        <v>22</v>
      </c>
    </row>
    <row r="17" spans="1:9">
      <c r="A17" t="s">
        <v>23</v>
      </c>
      <c r="B17">
        <v>4.6430671344818002</v>
      </c>
      <c r="C17">
        <v>4.2819929378019803E-2</v>
      </c>
      <c r="D17">
        <v>108.432386552818</v>
      </c>
      <c r="E17">
        <v>1.9721996576757701E-141</v>
      </c>
      <c r="F17">
        <v>4.5584401531255301</v>
      </c>
      <c r="G17">
        <v>4.7276941158380597</v>
      </c>
      <c r="H17">
        <v>4.5584401531255301</v>
      </c>
      <c r="I17">
        <v>4.7276941158380597</v>
      </c>
    </row>
    <row r="18" spans="1:9">
      <c r="A18" t="s">
        <v>27</v>
      </c>
      <c r="B18">
        <v>-1.3396582628819E-5</v>
      </c>
      <c r="C18">
        <v>5.3978633116473797E-6</v>
      </c>
      <c r="D18">
        <v>-2.4818306532349901</v>
      </c>
      <c r="E18">
        <v>1.42045477400116E-2</v>
      </c>
      <c r="F18">
        <v>-2.40646263288847E-5</v>
      </c>
      <c r="G18">
        <v>-2.7285389287533299E-6</v>
      </c>
      <c r="H18">
        <v>-2.40646263288847E-5</v>
      </c>
      <c r="I18">
        <v>-2.7285389287533299E-6</v>
      </c>
    </row>
    <row r="19" spans="1:9">
      <c r="A19" t="s">
        <v>28</v>
      </c>
      <c r="B19">
        <v>-9.10700530722389E-3</v>
      </c>
      <c r="C19">
        <v>4.7041558315820504E-3</v>
      </c>
      <c r="D19">
        <v>-1.9359488999243299</v>
      </c>
      <c r="E19">
        <v>5.4806089358682898E-2</v>
      </c>
      <c r="F19">
        <v>-1.8404043243503199E-2</v>
      </c>
      <c r="G19">
        <v>1.90032629055446E-4</v>
      </c>
      <c r="H19">
        <v>-1.8404043243503199E-2</v>
      </c>
      <c r="I19">
        <v>1.90032629055446E-4</v>
      </c>
    </row>
    <row r="20" spans="1:9">
      <c r="A20" t="s">
        <v>29</v>
      </c>
      <c r="B20">
        <v>2.6490922997671199E-2</v>
      </c>
      <c r="C20">
        <v>1.50610330206963E-2</v>
      </c>
      <c r="D20">
        <v>1.75890478171507</v>
      </c>
      <c r="E20">
        <v>8.0688662238727199E-2</v>
      </c>
      <c r="F20">
        <v>-3.2748841664758501E-3</v>
      </c>
      <c r="G20">
        <v>5.62567301618183E-2</v>
      </c>
      <c r="H20">
        <v>-3.2748841664758501E-3</v>
      </c>
      <c r="I20">
        <v>5.62567301618183E-2</v>
      </c>
    </row>
    <row r="21" spans="1:9">
      <c r="A21" t="s">
        <v>30</v>
      </c>
      <c r="B21">
        <v>2.06998177160326E-2</v>
      </c>
      <c r="C21">
        <v>7.0894184318351901E-3</v>
      </c>
      <c r="D21">
        <v>2.91981887020233</v>
      </c>
      <c r="E21">
        <v>4.0583430179522801E-3</v>
      </c>
      <c r="F21">
        <v>6.6886764046778201E-3</v>
      </c>
      <c r="G21">
        <v>3.4710959027387397E-2</v>
      </c>
      <c r="H21">
        <v>6.6886764046778201E-3</v>
      </c>
      <c r="I21">
        <v>3.4710959027387397E-2</v>
      </c>
    </row>
    <row r="22" spans="1:9">
      <c r="A22" t="s">
        <v>31</v>
      </c>
      <c r="B22">
        <v>-7.51840209779976E-3</v>
      </c>
      <c r="C22">
        <v>1.0778139106318399E-2</v>
      </c>
      <c r="D22">
        <v>-0.69756031385717698</v>
      </c>
      <c r="E22">
        <v>0.48656157128067601</v>
      </c>
      <c r="F22">
        <v>-2.8819730485179801E-2</v>
      </c>
      <c r="G22">
        <v>1.3782926289580199E-2</v>
      </c>
      <c r="H22">
        <v>-2.8819730485179801E-2</v>
      </c>
      <c r="I22">
        <v>1.3782926289580199E-2</v>
      </c>
    </row>
    <row r="23" spans="1:9">
      <c r="A23" s="11" t="s">
        <v>32</v>
      </c>
      <c r="B23" s="11">
        <v>-3.1200945136068001E-5</v>
      </c>
      <c r="C23" s="11">
        <v>1.9012898287404202E-5</v>
      </c>
      <c r="D23" s="11">
        <v>-1.64104097462817</v>
      </c>
      <c r="E23" s="11">
        <v>0.102941437395749</v>
      </c>
      <c r="F23" s="11">
        <v>-6.8777004047613504E-5</v>
      </c>
      <c r="G23" s="11">
        <v>6.3751137754774799E-6</v>
      </c>
      <c r="H23" s="11">
        <v>-6.8777004047613504E-5</v>
      </c>
      <c r="I23" s="11">
        <v>6.3751137754774799E-6</v>
      </c>
    </row>
    <row r="27" spans="1:9">
      <c r="A27" t="s">
        <v>33</v>
      </c>
      <c r="F27" t="s">
        <v>34</v>
      </c>
    </row>
    <row r="29" spans="1:9">
      <c r="A29" s="10" t="s">
        <v>6</v>
      </c>
      <c r="B29" s="10" t="s">
        <v>35</v>
      </c>
      <c r="C29" s="10" t="s">
        <v>14</v>
      </c>
      <c r="D29" s="10" t="s">
        <v>36</v>
      </c>
      <c r="F29" s="10" t="s">
        <v>37</v>
      </c>
      <c r="G29" s="10" t="s">
        <v>38</v>
      </c>
    </row>
    <row r="30" spans="1:9">
      <c r="A30">
        <v>1</v>
      </c>
      <c r="B30">
        <v>4.6925661415751803</v>
      </c>
      <c r="C30">
        <v>-0.19256614157518501</v>
      </c>
      <c r="D30">
        <v>-1.1254673721344199</v>
      </c>
      <c r="F30">
        <v>0.32679738562091498</v>
      </c>
      <c r="G30">
        <v>4</v>
      </c>
    </row>
    <row r="31" spans="1:9">
      <c r="A31">
        <v>2</v>
      </c>
      <c r="B31">
        <v>4.7880448607378501</v>
      </c>
      <c r="C31">
        <v>1.19551392621489E-2</v>
      </c>
      <c r="D31">
        <v>6.9872715207404804E-2</v>
      </c>
      <c r="F31">
        <v>0.98039215686274495</v>
      </c>
      <c r="G31">
        <v>4.0999999999999996</v>
      </c>
    </row>
    <row r="32" spans="1:9">
      <c r="A32">
        <v>3</v>
      </c>
      <c r="B32">
        <v>4.50725290629385</v>
      </c>
      <c r="C32">
        <v>9.27470937061496E-2</v>
      </c>
      <c r="D32">
        <v>0.54206740070039605</v>
      </c>
      <c r="F32">
        <v>1.63398692810458</v>
      </c>
      <c r="G32">
        <v>4.0999999999999996</v>
      </c>
    </row>
    <row r="33" spans="1:7">
      <c r="A33">
        <v>4</v>
      </c>
      <c r="B33">
        <v>4.5689678897848998</v>
      </c>
      <c r="C33">
        <v>3.10321102151025E-2</v>
      </c>
      <c r="D33">
        <v>0.18136951413102301</v>
      </c>
      <c r="F33">
        <v>2.28758169934641</v>
      </c>
      <c r="G33">
        <v>4.0999999999999996</v>
      </c>
    </row>
    <row r="34" spans="1:7">
      <c r="A34">
        <v>5</v>
      </c>
      <c r="B34">
        <v>4.5597111689452898</v>
      </c>
      <c r="C34">
        <v>-0.159711168945294</v>
      </c>
      <c r="D34">
        <v>-0.93344400081462497</v>
      </c>
      <c r="F34">
        <v>2.9411764705882399</v>
      </c>
      <c r="G34">
        <v>4.2</v>
      </c>
    </row>
    <row r="35" spans="1:7">
      <c r="A35">
        <v>6</v>
      </c>
      <c r="B35">
        <v>4.6467601814980997</v>
      </c>
      <c r="C35">
        <v>0.15323981850190399</v>
      </c>
      <c r="D35">
        <v>0.89562170392428797</v>
      </c>
      <c r="F35">
        <v>3.5947712418300699</v>
      </c>
      <c r="G35">
        <v>4.3</v>
      </c>
    </row>
    <row r="36" spans="1:7">
      <c r="A36">
        <v>7</v>
      </c>
      <c r="B36">
        <v>4.6057236788936198</v>
      </c>
      <c r="C36">
        <v>-5.7236788936183601E-3</v>
      </c>
      <c r="D36">
        <v>-3.3452473994898903E-2</v>
      </c>
      <c r="F36">
        <v>4.2483660130718999</v>
      </c>
      <c r="G36">
        <v>4.3</v>
      </c>
    </row>
    <row r="37" spans="1:7">
      <c r="A37">
        <v>8</v>
      </c>
      <c r="B37">
        <v>4.5807951095571804</v>
      </c>
      <c r="C37">
        <v>1.9204890442818399E-2</v>
      </c>
      <c r="D37">
        <v>0.112244434052645</v>
      </c>
      <c r="F37">
        <v>4.9019607843137196</v>
      </c>
      <c r="G37">
        <v>4.3</v>
      </c>
    </row>
    <row r="38" spans="1:7">
      <c r="A38">
        <v>9</v>
      </c>
      <c r="B38">
        <v>4.4092534545583302</v>
      </c>
      <c r="C38">
        <v>0.39074654544166798</v>
      </c>
      <c r="D38">
        <v>2.28374772465975</v>
      </c>
      <c r="F38">
        <v>5.5555555555555598</v>
      </c>
      <c r="G38">
        <v>4.3</v>
      </c>
    </row>
    <row r="39" spans="1:7">
      <c r="A39">
        <v>10</v>
      </c>
      <c r="B39">
        <v>4.5458148877772304</v>
      </c>
      <c r="C39">
        <v>-0.14581488777723201</v>
      </c>
      <c r="D39">
        <v>-0.852226134990827</v>
      </c>
      <c r="F39">
        <v>6.2091503267973902</v>
      </c>
      <c r="G39">
        <v>4.3</v>
      </c>
    </row>
    <row r="40" spans="1:7">
      <c r="A40">
        <v>11</v>
      </c>
      <c r="B40">
        <v>4.6227145501397997</v>
      </c>
      <c r="C40">
        <v>-2.2714550139796501E-2</v>
      </c>
      <c r="D40">
        <v>-0.13275690547640201</v>
      </c>
      <c r="F40">
        <v>6.8627450980392197</v>
      </c>
      <c r="G40">
        <v>4.3</v>
      </c>
    </row>
    <row r="41" spans="1:7">
      <c r="A41">
        <v>12</v>
      </c>
      <c r="B41">
        <v>4.46571348630368</v>
      </c>
      <c r="C41">
        <v>-0.16571348630367599</v>
      </c>
      <c r="D41">
        <v>-0.968524998381465</v>
      </c>
      <c r="F41">
        <v>7.5163398692810501</v>
      </c>
      <c r="G41">
        <v>4.3</v>
      </c>
    </row>
    <row r="42" spans="1:7">
      <c r="A42">
        <v>13</v>
      </c>
      <c r="B42">
        <v>4.5591297990307602</v>
      </c>
      <c r="C42">
        <v>4.0870200969236797E-2</v>
      </c>
      <c r="D42">
        <v>0.23886897928779</v>
      </c>
      <c r="F42">
        <v>8.1699346405228805</v>
      </c>
      <c r="G42">
        <v>4.3</v>
      </c>
    </row>
    <row r="43" spans="1:7">
      <c r="A43">
        <v>14</v>
      </c>
      <c r="B43">
        <v>4.6768080619372903</v>
      </c>
      <c r="C43">
        <v>-7.6808061937293295E-2</v>
      </c>
      <c r="D43">
        <v>-0.44891052456151398</v>
      </c>
      <c r="F43">
        <v>8.8235294117647101</v>
      </c>
      <c r="G43">
        <v>4.3</v>
      </c>
    </row>
    <row r="44" spans="1:7">
      <c r="A44">
        <v>15</v>
      </c>
      <c r="B44">
        <v>4.6716343156195803</v>
      </c>
      <c r="C44">
        <v>0.12836568438041901</v>
      </c>
      <c r="D44">
        <v>0.75024294660574598</v>
      </c>
      <c r="F44">
        <v>9.4771241830065396</v>
      </c>
      <c r="G44">
        <v>4.3</v>
      </c>
    </row>
    <row r="45" spans="1:7">
      <c r="A45">
        <v>16</v>
      </c>
      <c r="B45">
        <v>4.61714501570086</v>
      </c>
      <c r="C45">
        <v>-0.31714501570085601</v>
      </c>
      <c r="D45">
        <v>-1.8535780199293801</v>
      </c>
      <c r="F45">
        <v>10.130718954248399</v>
      </c>
      <c r="G45">
        <v>4.3</v>
      </c>
    </row>
    <row r="46" spans="1:7">
      <c r="A46">
        <v>17</v>
      </c>
      <c r="B46">
        <v>4.63179974301746</v>
      </c>
      <c r="C46">
        <v>6.8200256982542007E-2</v>
      </c>
      <c r="D46">
        <v>0.39860155776691802</v>
      </c>
      <c r="F46">
        <v>10.7843137254902</v>
      </c>
      <c r="G46">
        <v>4.4000000000000004</v>
      </c>
    </row>
    <row r="47" spans="1:7">
      <c r="A47">
        <v>18</v>
      </c>
      <c r="B47">
        <v>4.64691190981803</v>
      </c>
      <c r="C47">
        <v>5.3088090181968403E-2</v>
      </c>
      <c r="D47">
        <v>0.31027735644485999</v>
      </c>
      <c r="F47">
        <v>11.437908496732</v>
      </c>
      <c r="G47">
        <v>4.4000000000000004</v>
      </c>
    </row>
    <row r="48" spans="1:7">
      <c r="A48">
        <v>19</v>
      </c>
      <c r="B48">
        <v>4.56472995845448</v>
      </c>
      <c r="C48">
        <v>-0.164729958454475</v>
      </c>
      <c r="D48">
        <v>-0.96277669551364997</v>
      </c>
      <c r="F48">
        <v>12.0915032679739</v>
      </c>
      <c r="G48">
        <v>4.4000000000000004</v>
      </c>
    </row>
    <row r="49" spans="1:7">
      <c r="A49">
        <v>20</v>
      </c>
      <c r="B49">
        <v>4.5082181092481699</v>
      </c>
      <c r="C49">
        <v>-0.40821810924817098</v>
      </c>
      <c r="D49">
        <v>-2.38586160014968</v>
      </c>
      <c r="F49">
        <v>12.7450980392157</v>
      </c>
      <c r="G49">
        <v>4.4000000000000004</v>
      </c>
    </row>
    <row r="50" spans="1:7">
      <c r="A50">
        <v>21</v>
      </c>
      <c r="B50">
        <v>4.5360985765914004</v>
      </c>
      <c r="C50">
        <v>-0.23609857659139799</v>
      </c>
      <c r="D50">
        <v>-1.3798959795704799</v>
      </c>
      <c r="F50">
        <v>13.398692810457501</v>
      </c>
      <c r="G50">
        <v>4.4000000000000004</v>
      </c>
    </row>
    <row r="51" spans="1:7">
      <c r="A51">
        <v>22</v>
      </c>
      <c r="B51">
        <v>4.5932205405165396</v>
      </c>
      <c r="C51">
        <v>-9.3220540516541398E-2</v>
      </c>
      <c r="D51">
        <v>-0.54483449637556702</v>
      </c>
      <c r="F51">
        <v>14.0522875816993</v>
      </c>
      <c r="G51">
        <v>4.4000000000000004</v>
      </c>
    </row>
    <row r="52" spans="1:7">
      <c r="A52">
        <v>23</v>
      </c>
      <c r="B52">
        <v>4.6272468844708596</v>
      </c>
      <c r="C52">
        <v>0.17275311552914499</v>
      </c>
      <c r="D52">
        <v>1.00966864357465</v>
      </c>
      <c r="F52">
        <v>14.705882352941201</v>
      </c>
      <c r="G52">
        <v>4.4000000000000004</v>
      </c>
    </row>
    <row r="53" spans="1:7">
      <c r="A53">
        <v>24</v>
      </c>
      <c r="B53">
        <v>4.5894422055407702</v>
      </c>
      <c r="C53">
        <v>0.11055779445922601</v>
      </c>
      <c r="D53">
        <v>0.64616338771279302</v>
      </c>
      <c r="F53">
        <v>15.359477124183</v>
      </c>
      <c r="G53">
        <v>4.4000000000000004</v>
      </c>
    </row>
    <row r="54" spans="1:7">
      <c r="A54">
        <v>25</v>
      </c>
      <c r="B54">
        <v>4.6110347511322098</v>
      </c>
      <c r="C54">
        <v>-0.31103475113221102</v>
      </c>
      <c r="D54">
        <v>-1.81786611673151</v>
      </c>
      <c r="F54">
        <v>16.013071895424801</v>
      </c>
      <c r="G54">
        <v>4.4000000000000004</v>
      </c>
    </row>
    <row r="55" spans="1:7">
      <c r="A55">
        <v>26</v>
      </c>
      <c r="B55">
        <v>4.52782350126241</v>
      </c>
      <c r="C55">
        <v>-0.22782350126241199</v>
      </c>
      <c r="D55">
        <v>-1.33153167622751</v>
      </c>
      <c r="F55">
        <v>16.6666666666667</v>
      </c>
      <c r="G55">
        <v>4.4000000000000004</v>
      </c>
    </row>
    <row r="56" spans="1:7">
      <c r="A56">
        <v>27</v>
      </c>
      <c r="B56">
        <v>4.5166176448186803</v>
      </c>
      <c r="C56">
        <v>8.3382355181324599E-2</v>
      </c>
      <c r="D56">
        <v>0.48733447843251299</v>
      </c>
      <c r="F56">
        <v>17.320261437908499</v>
      </c>
      <c r="G56">
        <v>4.4000000000000004</v>
      </c>
    </row>
    <row r="57" spans="1:7">
      <c r="A57">
        <v>28</v>
      </c>
      <c r="B57">
        <v>4.6081246042302801</v>
      </c>
      <c r="C57">
        <v>-0.10812460423028</v>
      </c>
      <c r="D57">
        <v>-0.63194242347435103</v>
      </c>
      <c r="F57">
        <v>17.973856209150298</v>
      </c>
      <c r="G57">
        <v>4.4000000000000004</v>
      </c>
    </row>
    <row r="58" spans="1:7">
      <c r="A58">
        <v>29</v>
      </c>
      <c r="B58">
        <v>4.5710526779811698</v>
      </c>
      <c r="C58">
        <v>-0.271052677981174</v>
      </c>
      <c r="D58">
        <v>-1.5841878676182699</v>
      </c>
      <c r="F58">
        <v>18.627450980392201</v>
      </c>
      <c r="G58">
        <v>4.4000000000000004</v>
      </c>
    </row>
    <row r="59" spans="1:7">
      <c r="A59">
        <v>30</v>
      </c>
      <c r="B59">
        <v>4.5791416007651602</v>
      </c>
      <c r="C59">
        <v>-0.179141600765162</v>
      </c>
      <c r="D59">
        <v>-1.04700662849601</v>
      </c>
      <c r="F59">
        <v>19.281045751634</v>
      </c>
      <c r="G59">
        <v>4.4000000000000004</v>
      </c>
    </row>
    <row r="60" spans="1:7">
      <c r="A60">
        <v>31</v>
      </c>
      <c r="B60">
        <v>4.56008034839763</v>
      </c>
      <c r="C60">
        <v>-0.16008034839763399</v>
      </c>
      <c r="D60">
        <v>-0.93560169803321502</v>
      </c>
      <c r="F60">
        <v>19.934640522875799</v>
      </c>
      <c r="G60">
        <v>4.4000000000000004</v>
      </c>
    </row>
    <row r="61" spans="1:7">
      <c r="A61">
        <v>32</v>
      </c>
      <c r="B61">
        <v>4.52149455679334</v>
      </c>
      <c r="C61">
        <v>-0.12149455679334099</v>
      </c>
      <c r="D61">
        <v>-0.71008412197660498</v>
      </c>
      <c r="F61">
        <v>20.588235294117599</v>
      </c>
      <c r="G61">
        <v>4.4000000000000004</v>
      </c>
    </row>
    <row r="62" spans="1:7">
      <c r="A62">
        <v>33</v>
      </c>
      <c r="B62">
        <v>4.4582602241573097</v>
      </c>
      <c r="C62">
        <v>0.14173977584269301</v>
      </c>
      <c r="D62">
        <v>0.82840883521734199</v>
      </c>
      <c r="F62">
        <v>21.241830065359501</v>
      </c>
      <c r="G62">
        <v>4.4000000000000004</v>
      </c>
    </row>
    <row r="63" spans="1:7">
      <c r="A63">
        <v>34</v>
      </c>
      <c r="B63">
        <v>4.6074486713946596</v>
      </c>
      <c r="C63">
        <v>0.19255132860534399</v>
      </c>
      <c r="D63">
        <v>1.1253807966123399</v>
      </c>
      <c r="F63">
        <v>21.8954248366013</v>
      </c>
      <c r="G63">
        <v>4.4000000000000004</v>
      </c>
    </row>
    <row r="64" spans="1:7">
      <c r="A64">
        <v>35</v>
      </c>
      <c r="B64">
        <v>4.64341531197016</v>
      </c>
      <c r="C64">
        <v>5.6584688029835697E-2</v>
      </c>
      <c r="D64">
        <v>0.33071348690403302</v>
      </c>
      <c r="F64">
        <v>22.5490196078431</v>
      </c>
      <c r="G64">
        <v>4.4000000000000004</v>
      </c>
    </row>
    <row r="65" spans="1:7">
      <c r="A65">
        <v>36</v>
      </c>
      <c r="B65">
        <v>4.3824289526504199</v>
      </c>
      <c r="C65">
        <v>-8.2428952650424506E-2</v>
      </c>
      <c r="D65">
        <v>-0.481762245264931</v>
      </c>
      <c r="F65">
        <v>23.202614379084999</v>
      </c>
      <c r="G65">
        <v>4.5</v>
      </c>
    </row>
    <row r="66" spans="1:7">
      <c r="A66">
        <v>37</v>
      </c>
      <c r="B66">
        <v>4.5826590702554499</v>
      </c>
      <c r="C66">
        <v>-0.182659070255448</v>
      </c>
      <c r="D66">
        <v>-1.0675647448471599</v>
      </c>
      <c r="F66">
        <v>23.856209150326801</v>
      </c>
      <c r="G66">
        <v>4.5</v>
      </c>
    </row>
    <row r="67" spans="1:7">
      <c r="A67">
        <v>38</v>
      </c>
      <c r="B67">
        <v>4.5662419244775503</v>
      </c>
      <c r="C67">
        <v>-0.46624192447754798</v>
      </c>
      <c r="D67">
        <v>-2.72498617476719</v>
      </c>
      <c r="F67">
        <v>24.509803921568601</v>
      </c>
      <c r="G67">
        <v>4.5</v>
      </c>
    </row>
    <row r="68" spans="1:7">
      <c r="A68">
        <v>39</v>
      </c>
      <c r="B68">
        <v>4.5794851540324304</v>
      </c>
      <c r="C68">
        <v>0.32051484596757401</v>
      </c>
      <c r="D68">
        <v>1.8732732476770899</v>
      </c>
      <c r="F68">
        <v>25.1633986928105</v>
      </c>
      <c r="G68">
        <v>4.5</v>
      </c>
    </row>
    <row r="69" spans="1:7">
      <c r="A69">
        <v>40</v>
      </c>
      <c r="B69">
        <v>4.5850718044372103</v>
      </c>
      <c r="C69">
        <v>-0.48507180443721198</v>
      </c>
      <c r="D69">
        <v>-2.8350388317008401</v>
      </c>
      <c r="F69">
        <v>25.816993464052299</v>
      </c>
      <c r="G69">
        <v>4.5</v>
      </c>
    </row>
    <row r="70" spans="1:7">
      <c r="A70">
        <v>41</v>
      </c>
      <c r="B70">
        <v>4.6624430554835801</v>
      </c>
      <c r="C70">
        <v>3.7556944516420998E-2</v>
      </c>
      <c r="D70">
        <v>0.21950440147231701</v>
      </c>
      <c r="F70">
        <v>26.470588235294102</v>
      </c>
      <c r="G70">
        <v>4.5</v>
      </c>
    </row>
    <row r="71" spans="1:7">
      <c r="A71">
        <v>42</v>
      </c>
      <c r="B71">
        <v>4.6453865600413202</v>
      </c>
      <c r="C71">
        <v>-4.5386560041323201E-2</v>
      </c>
      <c r="D71">
        <v>-0.26526518131426102</v>
      </c>
      <c r="F71">
        <v>27.124183006535901</v>
      </c>
      <c r="G71">
        <v>4.5</v>
      </c>
    </row>
    <row r="72" spans="1:7">
      <c r="A72">
        <v>43</v>
      </c>
      <c r="B72">
        <v>4.4695351188006098</v>
      </c>
      <c r="C72">
        <v>-6.9535118800605894E-2</v>
      </c>
      <c r="D72">
        <v>-0.40640325857605197</v>
      </c>
      <c r="F72">
        <v>27.7777777777778</v>
      </c>
      <c r="G72">
        <v>4.5</v>
      </c>
    </row>
    <row r="73" spans="1:7">
      <c r="A73">
        <v>44</v>
      </c>
      <c r="B73">
        <v>4.5761610081306099</v>
      </c>
      <c r="C73">
        <v>-7.6161008130611704E-2</v>
      </c>
      <c r="D73">
        <v>-0.44512876967211101</v>
      </c>
      <c r="F73">
        <v>28.431372549019599</v>
      </c>
      <c r="G73">
        <v>4.5</v>
      </c>
    </row>
    <row r="74" spans="1:7">
      <c r="A74">
        <v>45</v>
      </c>
      <c r="B74">
        <v>4.7179521196916996</v>
      </c>
      <c r="C74">
        <v>8.2047880308301999E-2</v>
      </c>
      <c r="D74">
        <v>0.479535039152925</v>
      </c>
      <c r="F74">
        <v>29.084967320261399</v>
      </c>
      <c r="G74">
        <v>4.5</v>
      </c>
    </row>
    <row r="75" spans="1:7">
      <c r="A75">
        <v>46</v>
      </c>
      <c r="B75">
        <v>4.5919113978972099</v>
      </c>
      <c r="C75">
        <v>0.20808860210278801</v>
      </c>
      <c r="D75">
        <v>1.21618956616166</v>
      </c>
      <c r="F75">
        <v>29.738562091503301</v>
      </c>
      <c r="G75">
        <v>4.5</v>
      </c>
    </row>
    <row r="76" spans="1:7">
      <c r="A76">
        <v>47</v>
      </c>
      <c r="B76">
        <v>4.4838354720914104</v>
      </c>
      <c r="C76">
        <v>0.31616452790859501</v>
      </c>
      <c r="D76">
        <v>1.8478474849041699</v>
      </c>
      <c r="F76">
        <v>30.3921568627451</v>
      </c>
      <c r="G76">
        <v>4.5</v>
      </c>
    </row>
    <row r="77" spans="1:7">
      <c r="A77">
        <v>48</v>
      </c>
      <c r="B77">
        <v>4.6444882193281796</v>
      </c>
      <c r="C77">
        <v>0.155511780671823</v>
      </c>
      <c r="D77">
        <v>0.90890035858315699</v>
      </c>
      <c r="F77">
        <v>31.0457516339869</v>
      </c>
      <c r="G77">
        <v>4.5</v>
      </c>
    </row>
    <row r="78" spans="1:7">
      <c r="A78">
        <v>49</v>
      </c>
      <c r="B78">
        <v>4.6194113359849798</v>
      </c>
      <c r="C78">
        <v>0.180588664015019</v>
      </c>
      <c r="D78">
        <v>1.05546409905551</v>
      </c>
      <c r="F78">
        <v>31.699346405228798</v>
      </c>
      <c r="G78">
        <v>4.5</v>
      </c>
    </row>
    <row r="79" spans="1:7">
      <c r="A79">
        <v>50</v>
      </c>
      <c r="B79">
        <v>4.5971571981004304</v>
      </c>
      <c r="C79">
        <v>-0.19715719810042501</v>
      </c>
      <c r="D79">
        <v>-1.1523001490728499</v>
      </c>
      <c r="F79">
        <v>32.352941176470601</v>
      </c>
      <c r="G79">
        <v>4.5</v>
      </c>
    </row>
    <row r="80" spans="1:7">
      <c r="A80">
        <v>51</v>
      </c>
      <c r="B80">
        <v>4.57495085024029</v>
      </c>
      <c r="C80">
        <v>2.50491497597078E-2</v>
      </c>
      <c r="D80">
        <v>0.14640164944704301</v>
      </c>
      <c r="F80">
        <v>33.006535947712401</v>
      </c>
      <c r="G80">
        <v>4.5</v>
      </c>
    </row>
    <row r="81" spans="1:7">
      <c r="A81">
        <v>52</v>
      </c>
      <c r="B81">
        <v>4.5180473334633904</v>
      </c>
      <c r="C81">
        <v>-0.11804733346339299</v>
      </c>
      <c r="D81">
        <v>-0.68993656462004305</v>
      </c>
      <c r="F81">
        <v>33.6601307189542</v>
      </c>
      <c r="G81">
        <v>4.5</v>
      </c>
    </row>
    <row r="82" spans="1:7">
      <c r="A82">
        <v>53</v>
      </c>
      <c r="B82">
        <v>4.4086561638790904</v>
      </c>
      <c r="C82">
        <v>9.1343836120914901E-2</v>
      </c>
      <c r="D82">
        <v>0.53386595565941897</v>
      </c>
      <c r="F82">
        <v>34.313725490196099</v>
      </c>
      <c r="G82">
        <v>4.5</v>
      </c>
    </row>
    <row r="83" spans="1:7">
      <c r="A83">
        <v>54</v>
      </c>
      <c r="B83">
        <v>4.5973899214492704</v>
      </c>
      <c r="C83">
        <v>2.6100785507274802E-3</v>
      </c>
      <c r="D83">
        <v>1.52548014075711E-2</v>
      </c>
      <c r="F83">
        <v>34.967320261437898</v>
      </c>
      <c r="G83">
        <v>4.5</v>
      </c>
    </row>
    <row r="84" spans="1:7">
      <c r="A84">
        <v>55</v>
      </c>
      <c r="B84">
        <v>4.3816692711251104</v>
      </c>
      <c r="C84">
        <v>1.83307288748908E-2</v>
      </c>
      <c r="D84">
        <v>0.10713533068365</v>
      </c>
      <c r="F84">
        <v>35.620915032679697</v>
      </c>
      <c r="G84">
        <v>4.5</v>
      </c>
    </row>
    <row r="85" spans="1:7">
      <c r="A85">
        <v>56</v>
      </c>
      <c r="B85">
        <v>4.4833617362194902</v>
      </c>
      <c r="C85">
        <v>-0.48336173621949502</v>
      </c>
      <c r="D85">
        <v>-2.8250442087239098</v>
      </c>
      <c r="F85">
        <v>36.274509803921603</v>
      </c>
      <c r="G85">
        <v>4.5</v>
      </c>
    </row>
    <row r="86" spans="1:7">
      <c r="A86">
        <v>57</v>
      </c>
      <c r="B86">
        <v>4.6340197479728502</v>
      </c>
      <c r="C86">
        <v>0.16598025202715</v>
      </c>
      <c r="D86">
        <v>0.97008413081937805</v>
      </c>
      <c r="F86">
        <v>36.928104575163403</v>
      </c>
      <c r="G86">
        <v>4.5</v>
      </c>
    </row>
    <row r="87" spans="1:7">
      <c r="A87">
        <v>58</v>
      </c>
      <c r="B87">
        <v>4.65078646964536</v>
      </c>
      <c r="C87">
        <v>0.149213530354639</v>
      </c>
      <c r="D87">
        <v>0.87208975846653103</v>
      </c>
      <c r="F87">
        <v>37.581699346405202</v>
      </c>
      <c r="G87">
        <v>4.5</v>
      </c>
    </row>
    <row r="88" spans="1:7">
      <c r="A88">
        <v>59</v>
      </c>
      <c r="B88">
        <v>4.5357728508151904</v>
      </c>
      <c r="C88">
        <v>-3.57728508151922E-2</v>
      </c>
      <c r="D88">
        <v>-0.2090771309608</v>
      </c>
      <c r="F88">
        <v>38.235294117647101</v>
      </c>
      <c r="G88">
        <v>4.5</v>
      </c>
    </row>
    <row r="89" spans="1:7">
      <c r="A89">
        <v>60</v>
      </c>
      <c r="B89">
        <v>4.5427877257396796</v>
      </c>
      <c r="C89">
        <v>-4.2787725739676E-2</v>
      </c>
      <c r="D89">
        <v>-0.250076097770487</v>
      </c>
      <c r="F89">
        <v>38.8888888888889</v>
      </c>
      <c r="G89">
        <v>4.5</v>
      </c>
    </row>
    <row r="90" spans="1:7">
      <c r="A90">
        <v>61</v>
      </c>
      <c r="B90">
        <v>4.6178830207067403</v>
      </c>
      <c r="C90">
        <v>-0.21788302070674101</v>
      </c>
      <c r="D90">
        <v>-1.2734337861351499</v>
      </c>
      <c r="F90">
        <v>39.542483660130699</v>
      </c>
      <c r="G90">
        <v>4.5999999999999996</v>
      </c>
    </row>
    <row r="91" spans="1:7">
      <c r="A91">
        <v>62</v>
      </c>
      <c r="B91">
        <v>4.6079688176546396</v>
      </c>
      <c r="C91">
        <v>0.19203118234536501</v>
      </c>
      <c r="D91">
        <v>1.1223407624736601</v>
      </c>
      <c r="F91">
        <v>40.196078431372499</v>
      </c>
      <c r="G91">
        <v>4.5999999999999996</v>
      </c>
    </row>
    <row r="92" spans="1:7">
      <c r="A92">
        <v>63</v>
      </c>
      <c r="B92">
        <v>4.5580589201152399</v>
      </c>
      <c r="C92">
        <v>-5.8058920115235502E-2</v>
      </c>
      <c r="D92">
        <v>-0.33932974777678498</v>
      </c>
      <c r="F92">
        <v>40.849673202614397</v>
      </c>
      <c r="G92">
        <v>4.5999999999999996</v>
      </c>
    </row>
    <row r="93" spans="1:7">
      <c r="A93">
        <v>64</v>
      </c>
      <c r="B93">
        <v>4.6183579344736101</v>
      </c>
      <c r="C93">
        <v>-0.118357934473607</v>
      </c>
      <c r="D93">
        <v>-0.69175189570518703</v>
      </c>
      <c r="F93">
        <v>41.503267973856197</v>
      </c>
      <c r="G93">
        <v>4.5999999999999996</v>
      </c>
    </row>
    <row r="94" spans="1:7">
      <c r="A94">
        <v>65</v>
      </c>
      <c r="B94">
        <v>4.6154872197524304</v>
      </c>
      <c r="C94">
        <v>0.18451278024756501</v>
      </c>
      <c r="D94">
        <v>1.0783988930336601</v>
      </c>
      <c r="F94">
        <v>42.156862745098003</v>
      </c>
      <c r="G94">
        <v>4.5999999999999996</v>
      </c>
    </row>
    <row r="95" spans="1:7">
      <c r="A95">
        <v>66</v>
      </c>
      <c r="B95">
        <v>4.5878363159685396</v>
      </c>
      <c r="C95">
        <v>0.112163684031458</v>
      </c>
      <c r="D95">
        <v>0.65554913072043297</v>
      </c>
      <c r="F95">
        <v>42.810457516339902</v>
      </c>
      <c r="G95">
        <v>4.5999999999999996</v>
      </c>
    </row>
    <row r="96" spans="1:7">
      <c r="A96">
        <v>67</v>
      </c>
      <c r="B96">
        <v>4.6486626278413201</v>
      </c>
      <c r="C96">
        <v>0.25133737215868202</v>
      </c>
      <c r="D96">
        <v>1.4689602722925099</v>
      </c>
      <c r="F96">
        <v>43.464052287581701</v>
      </c>
      <c r="G96">
        <v>4.5999999999999996</v>
      </c>
    </row>
    <row r="97" spans="1:7">
      <c r="A97">
        <v>68</v>
      </c>
      <c r="B97">
        <v>4.3199200193028604</v>
      </c>
      <c r="C97">
        <v>0.18007998069714501</v>
      </c>
      <c r="D97">
        <v>1.0524910609485401</v>
      </c>
      <c r="F97">
        <v>44.117647058823501</v>
      </c>
      <c r="G97">
        <v>4.5999999999999996</v>
      </c>
    </row>
    <row r="98" spans="1:7">
      <c r="A98">
        <v>69</v>
      </c>
      <c r="B98">
        <v>4.5806491575582298</v>
      </c>
      <c r="C98">
        <v>0.21935084244177</v>
      </c>
      <c r="D98">
        <v>1.2820125812305501</v>
      </c>
      <c r="F98">
        <v>44.771241830065399</v>
      </c>
      <c r="G98">
        <v>4.5999999999999996</v>
      </c>
    </row>
    <row r="99" spans="1:7">
      <c r="A99">
        <v>70</v>
      </c>
      <c r="B99">
        <v>4.6523331879240599</v>
      </c>
      <c r="C99">
        <v>0.14766681207594001</v>
      </c>
      <c r="D99">
        <v>0.86304984655719896</v>
      </c>
      <c r="F99">
        <v>45.424836601307199</v>
      </c>
      <c r="G99">
        <v>4.5999999999999996</v>
      </c>
    </row>
    <row r="100" spans="1:7">
      <c r="A100">
        <v>71</v>
      </c>
      <c r="B100">
        <v>4.5709216988878199</v>
      </c>
      <c r="C100">
        <v>0.12907830111218099</v>
      </c>
      <c r="D100">
        <v>0.75440788896723898</v>
      </c>
      <c r="F100">
        <v>46.078431372548998</v>
      </c>
      <c r="G100">
        <v>4.5999999999999996</v>
      </c>
    </row>
    <row r="101" spans="1:7">
      <c r="A101">
        <v>72</v>
      </c>
      <c r="B101">
        <v>4.6609491700467904</v>
      </c>
      <c r="C101">
        <v>-0.26094917004679302</v>
      </c>
      <c r="D101">
        <v>-1.5251371516864201</v>
      </c>
      <c r="F101">
        <v>46.732026143790797</v>
      </c>
      <c r="G101">
        <v>4.5999999999999996</v>
      </c>
    </row>
    <row r="102" spans="1:7">
      <c r="A102">
        <v>73</v>
      </c>
      <c r="B102">
        <v>4.60971160538611</v>
      </c>
      <c r="C102">
        <v>0.190288394613886</v>
      </c>
      <c r="D102">
        <v>1.1121549078250099</v>
      </c>
      <c r="F102">
        <v>47.385620915032703</v>
      </c>
      <c r="G102">
        <v>4.5999999999999996</v>
      </c>
    </row>
    <row r="103" spans="1:7">
      <c r="A103">
        <v>74</v>
      </c>
      <c r="B103">
        <v>4.5634296893647504</v>
      </c>
      <c r="C103">
        <v>-0.36342968936474901</v>
      </c>
      <c r="D103">
        <v>-2.1240922942067302</v>
      </c>
      <c r="F103">
        <v>48.039215686274503</v>
      </c>
      <c r="G103">
        <v>4.5999999999999996</v>
      </c>
    </row>
    <row r="104" spans="1:7">
      <c r="A104">
        <v>75</v>
      </c>
      <c r="B104">
        <v>4.5096374375362203</v>
      </c>
      <c r="C104">
        <v>-0.109637437536223</v>
      </c>
      <c r="D104">
        <v>-0.64078429209876198</v>
      </c>
      <c r="F104">
        <v>48.692810457516302</v>
      </c>
      <c r="G104">
        <v>4.5999999999999996</v>
      </c>
    </row>
    <row r="105" spans="1:7">
      <c r="A105">
        <v>76</v>
      </c>
      <c r="B105">
        <v>4.63074198791226</v>
      </c>
      <c r="C105">
        <v>6.9258012087744597E-2</v>
      </c>
      <c r="D105">
        <v>0.40478368744390197</v>
      </c>
      <c r="F105">
        <v>49.346405228758201</v>
      </c>
      <c r="G105">
        <v>4.5999999999999996</v>
      </c>
    </row>
    <row r="106" spans="1:7">
      <c r="A106">
        <v>77</v>
      </c>
      <c r="B106">
        <v>4.6355940667916196</v>
      </c>
      <c r="C106">
        <v>6.4405933208380603E-2</v>
      </c>
      <c r="D106">
        <v>0.376425345623906</v>
      </c>
      <c r="F106">
        <v>50</v>
      </c>
      <c r="G106">
        <v>4.5999999999999996</v>
      </c>
    </row>
    <row r="107" spans="1:7">
      <c r="A107">
        <v>78</v>
      </c>
      <c r="B107">
        <v>4.5309507181046396</v>
      </c>
      <c r="C107">
        <v>-0.23095071810463699</v>
      </c>
      <c r="D107">
        <v>-1.34980893147458</v>
      </c>
      <c r="F107">
        <v>50.653594771241799</v>
      </c>
      <c r="G107">
        <v>4.5999999999999996</v>
      </c>
    </row>
    <row r="108" spans="1:7">
      <c r="A108">
        <v>79</v>
      </c>
      <c r="B108">
        <v>4.6305370760745204</v>
      </c>
      <c r="C108">
        <v>-0.130537076074521</v>
      </c>
      <c r="D108">
        <v>-0.76293380951573497</v>
      </c>
      <c r="F108">
        <v>51.307189542483698</v>
      </c>
      <c r="G108">
        <v>4.5999999999999996</v>
      </c>
    </row>
    <row r="109" spans="1:7">
      <c r="A109">
        <v>80</v>
      </c>
      <c r="B109">
        <v>4.6114447281046997</v>
      </c>
      <c r="C109">
        <v>-0.211444728104699</v>
      </c>
      <c r="D109">
        <v>-1.2358046982977</v>
      </c>
      <c r="F109">
        <v>51.960784313725497</v>
      </c>
      <c r="G109">
        <v>4.5999999999999996</v>
      </c>
    </row>
    <row r="110" spans="1:7">
      <c r="A110">
        <v>81</v>
      </c>
      <c r="B110">
        <v>4.60313193721551</v>
      </c>
      <c r="C110">
        <v>0.19686806278448499</v>
      </c>
      <c r="D110">
        <v>1.15061027586067</v>
      </c>
      <c r="F110">
        <v>52.614379084967297</v>
      </c>
      <c r="G110">
        <v>4.5999999999999996</v>
      </c>
    </row>
    <row r="111" spans="1:7">
      <c r="A111">
        <v>82</v>
      </c>
      <c r="B111">
        <v>4.6279142012957397</v>
      </c>
      <c r="C111">
        <v>7.20857987042587E-2</v>
      </c>
      <c r="D111">
        <v>0.42131090010035099</v>
      </c>
      <c r="F111">
        <v>53.267973856209203</v>
      </c>
      <c r="G111">
        <v>4.5999999999999996</v>
      </c>
    </row>
    <row r="112" spans="1:7">
      <c r="A112">
        <v>83</v>
      </c>
      <c r="B112">
        <v>4.6008834621645001</v>
      </c>
      <c r="C112">
        <v>-8.8346216449597403E-4</v>
      </c>
      <c r="D112">
        <v>-5.1634614087505901E-3</v>
      </c>
      <c r="F112">
        <v>53.921568627451002</v>
      </c>
      <c r="G112">
        <v>4.5999999999999996</v>
      </c>
    </row>
    <row r="113" spans="1:7">
      <c r="A113">
        <v>84</v>
      </c>
      <c r="B113">
        <v>4.52688422784402</v>
      </c>
      <c r="C113">
        <v>7.3115772155984096E-2</v>
      </c>
      <c r="D113">
        <v>0.42733065780333701</v>
      </c>
      <c r="F113">
        <v>54.575163398692801</v>
      </c>
      <c r="G113">
        <v>4.5999999999999996</v>
      </c>
    </row>
    <row r="114" spans="1:7">
      <c r="A114">
        <v>85</v>
      </c>
      <c r="B114">
        <v>4.6124963724399803</v>
      </c>
      <c r="C114">
        <v>-1.24963724399771E-2</v>
      </c>
      <c r="D114">
        <v>-7.3035993431601498E-2</v>
      </c>
      <c r="F114">
        <v>55.228758169934601</v>
      </c>
      <c r="G114">
        <v>4.5999999999999996</v>
      </c>
    </row>
    <row r="115" spans="1:7">
      <c r="A115">
        <v>86</v>
      </c>
      <c r="B115">
        <v>4.6064147992925601</v>
      </c>
      <c r="C115">
        <v>0.29358520070743599</v>
      </c>
      <c r="D115">
        <v>1.7158809001152699</v>
      </c>
      <c r="F115">
        <v>55.882352941176499</v>
      </c>
      <c r="G115">
        <v>4.5999999999999996</v>
      </c>
    </row>
    <row r="116" spans="1:7">
      <c r="A116">
        <v>87</v>
      </c>
      <c r="B116">
        <v>4.5885343597672099</v>
      </c>
      <c r="C116">
        <v>-8.8534359767208096E-2</v>
      </c>
      <c r="D116">
        <v>-0.517445758718174</v>
      </c>
      <c r="F116">
        <v>56.535947712418299</v>
      </c>
      <c r="G116">
        <v>4.5999999999999996</v>
      </c>
    </row>
    <row r="117" spans="1:7">
      <c r="A117">
        <v>88</v>
      </c>
      <c r="B117">
        <v>4.5897676429227801</v>
      </c>
      <c r="C117">
        <v>1.02323570772205E-2</v>
      </c>
      <c r="D117">
        <v>5.9803784487959998E-2</v>
      </c>
      <c r="F117">
        <v>57.189542483660098</v>
      </c>
      <c r="G117">
        <v>4.5999999999999996</v>
      </c>
    </row>
    <row r="118" spans="1:7">
      <c r="A118">
        <v>89</v>
      </c>
      <c r="B118">
        <v>4.6180448535282297</v>
      </c>
      <c r="C118">
        <v>-0.118044853528225</v>
      </c>
      <c r="D118">
        <v>-0.68992207045147802</v>
      </c>
      <c r="F118">
        <v>57.843137254901997</v>
      </c>
      <c r="G118">
        <v>4.5999999999999996</v>
      </c>
    </row>
    <row r="119" spans="1:7">
      <c r="A119">
        <v>90</v>
      </c>
      <c r="B119">
        <v>4.6304172850433396</v>
      </c>
      <c r="C119">
        <v>-0.13041728504334399</v>
      </c>
      <c r="D119">
        <v>-0.76223368177800499</v>
      </c>
      <c r="F119">
        <v>58.496732026143803</v>
      </c>
      <c r="G119">
        <v>4.5999999999999996</v>
      </c>
    </row>
    <row r="120" spans="1:7">
      <c r="A120">
        <v>91</v>
      </c>
      <c r="B120">
        <v>4.6223511649976103</v>
      </c>
      <c r="C120">
        <v>-2.2351164997606299E-2</v>
      </c>
      <c r="D120">
        <v>-0.13063307354152401</v>
      </c>
      <c r="F120">
        <v>59.150326797385603</v>
      </c>
      <c r="G120">
        <v>4.7</v>
      </c>
    </row>
    <row r="121" spans="1:7">
      <c r="A121">
        <v>92</v>
      </c>
      <c r="B121">
        <v>4.5839592742686701</v>
      </c>
      <c r="C121">
        <v>0.21604072573133101</v>
      </c>
      <c r="D121">
        <v>1.26266635387676</v>
      </c>
      <c r="F121">
        <v>59.803921568627501</v>
      </c>
      <c r="G121">
        <v>4.7</v>
      </c>
    </row>
    <row r="122" spans="1:7">
      <c r="A122">
        <v>93</v>
      </c>
      <c r="B122">
        <v>4.5806357609755999</v>
      </c>
      <c r="C122">
        <v>0.219364239024399</v>
      </c>
      <c r="D122">
        <v>1.2820908785704801</v>
      </c>
      <c r="F122">
        <v>60.457516339869301</v>
      </c>
      <c r="G122">
        <v>4.7</v>
      </c>
    </row>
    <row r="123" spans="1:7">
      <c r="A123">
        <v>94</v>
      </c>
      <c r="B123">
        <v>4.6527140646963003</v>
      </c>
      <c r="C123">
        <v>0.14728593530370299</v>
      </c>
      <c r="D123">
        <v>0.86082378346817401</v>
      </c>
      <c r="F123">
        <v>61.1111111111111</v>
      </c>
      <c r="G123">
        <v>4.7</v>
      </c>
    </row>
    <row r="124" spans="1:7">
      <c r="A124">
        <v>95</v>
      </c>
      <c r="B124">
        <v>4.5977138531387798</v>
      </c>
      <c r="C124">
        <v>-9.7713853138779797E-2</v>
      </c>
      <c r="D124">
        <v>-0.57109600168362495</v>
      </c>
      <c r="F124">
        <v>61.764705882352899</v>
      </c>
      <c r="G124">
        <v>4.7</v>
      </c>
    </row>
    <row r="125" spans="1:7">
      <c r="A125">
        <v>96</v>
      </c>
      <c r="B125">
        <v>4.5781149424193099</v>
      </c>
      <c r="C125">
        <v>0.22188505758068899</v>
      </c>
      <c r="D125">
        <v>1.29682399319265</v>
      </c>
      <c r="F125">
        <v>62.418300653594798</v>
      </c>
      <c r="G125">
        <v>4.7</v>
      </c>
    </row>
    <row r="126" spans="1:7">
      <c r="A126">
        <v>97</v>
      </c>
      <c r="B126">
        <v>4.58367833955867</v>
      </c>
      <c r="C126">
        <v>-8.3678339558668199E-2</v>
      </c>
      <c r="D126">
        <v>-0.489064381501852</v>
      </c>
      <c r="F126">
        <v>63.071895424836597</v>
      </c>
      <c r="G126">
        <v>4.7</v>
      </c>
    </row>
    <row r="127" spans="1:7">
      <c r="A127">
        <v>98</v>
      </c>
      <c r="B127">
        <v>4.6497580649243497</v>
      </c>
      <c r="C127">
        <v>5.0241935075652201E-2</v>
      </c>
      <c r="D127">
        <v>0.29364278776113301</v>
      </c>
      <c r="F127">
        <v>63.725490196078397</v>
      </c>
      <c r="G127">
        <v>4.7</v>
      </c>
    </row>
    <row r="128" spans="1:7">
      <c r="A128">
        <v>99</v>
      </c>
      <c r="B128">
        <v>4.5980234394937103</v>
      </c>
      <c r="C128">
        <v>0.20197656050629401</v>
      </c>
      <c r="D128">
        <v>1.1804672769902</v>
      </c>
      <c r="F128">
        <v>64.379084967320296</v>
      </c>
      <c r="G128">
        <v>4.7</v>
      </c>
    </row>
    <row r="129" spans="1:7">
      <c r="A129">
        <v>100</v>
      </c>
      <c r="B129">
        <v>4.6182555278675599</v>
      </c>
      <c r="C129">
        <v>-1.82555278675611E-2</v>
      </c>
      <c r="D129">
        <v>-0.106695812711233</v>
      </c>
      <c r="F129">
        <v>65.032679738562095</v>
      </c>
      <c r="G129">
        <v>4.7</v>
      </c>
    </row>
    <row r="130" spans="1:7">
      <c r="A130">
        <v>101</v>
      </c>
      <c r="B130">
        <v>4.6151953144388598</v>
      </c>
      <c r="C130">
        <v>-0.215195314438859</v>
      </c>
      <c r="D130">
        <v>-1.2577252836661399</v>
      </c>
      <c r="F130">
        <v>65.686274509803894</v>
      </c>
      <c r="G130">
        <v>4.7</v>
      </c>
    </row>
    <row r="131" spans="1:7">
      <c r="A131">
        <v>102</v>
      </c>
      <c r="B131">
        <v>4.5377745666129803</v>
      </c>
      <c r="C131">
        <v>-0.13777456661298201</v>
      </c>
      <c r="D131">
        <v>-0.80523387011069902</v>
      </c>
      <c r="F131">
        <v>66.339869281045793</v>
      </c>
      <c r="G131">
        <v>4.7</v>
      </c>
    </row>
    <row r="132" spans="1:7">
      <c r="A132">
        <v>103</v>
      </c>
      <c r="B132">
        <v>4.5994687940819396</v>
      </c>
      <c r="C132">
        <v>0.100531205918064</v>
      </c>
      <c r="D132">
        <v>0.58756223298960297</v>
      </c>
      <c r="F132">
        <v>66.993464052287607</v>
      </c>
      <c r="G132">
        <v>4.7</v>
      </c>
    </row>
    <row r="133" spans="1:7">
      <c r="A133">
        <v>104</v>
      </c>
      <c r="B133">
        <v>4.5814739031588196</v>
      </c>
      <c r="C133">
        <v>-0.28147390315881599</v>
      </c>
      <c r="D133">
        <v>-1.6450955059972701</v>
      </c>
      <c r="F133">
        <v>67.647058823529406</v>
      </c>
      <c r="G133">
        <v>4.7</v>
      </c>
    </row>
    <row r="134" spans="1:7">
      <c r="A134">
        <v>105</v>
      </c>
      <c r="B134">
        <v>4.4650248889704303</v>
      </c>
      <c r="C134">
        <v>3.4975111029568899E-2</v>
      </c>
      <c r="D134">
        <v>0.20441468047584799</v>
      </c>
      <c r="F134">
        <v>68.300653594771205</v>
      </c>
      <c r="G134">
        <v>4.7</v>
      </c>
    </row>
    <row r="135" spans="1:7">
      <c r="A135">
        <v>106</v>
      </c>
      <c r="B135">
        <v>4.5477419429305499</v>
      </c>
      <c r="C135">
        <v>-4.7741942930549001E-2</v>
      </c>
      <c r="D135">
        <v>-0.279031394673593</v>
      </c>
      <c r="F135">
        <v>68.954248366013104</v>
      </c>
      <c r="G135">
        <v>4.7</v>
      </c>
    </row>
    <row r="136" spans="1:7">
      <c r="A136">
        <v>107</v>
      </c>
      <c r="B136">
        <v>4.5898366368475498</v>
      </c>
      <c r="C136">
        <v>-8.9836636847549806E-2</v>
      </c>
      <c r="D136">
        <v>-0.52505701556433604</v>
      </c>
      <c r="F136">
        <v>69.607843137254903</v>
      </c>
      <c r="G136">
        <v>4.7</v>
      </c>
    </row>
    <row r="137" spans="1:7">
      <c r="A137">
        <v>108</v>
      </c>
      <c r="B137">
        <v>4.5721982876686598</v>
      </c>
      <c r="C137">
        <v>2.78017123313417E-2</v>
      </c>
      <c r="D137">
        <v>0.16248920948637</v>
      </c>
      <c r="F137">
        <v>70.261437908496703</v>
      </c>
      <c r="G137">
        <v>4.7</v>
      </c>
    </row>
    <row r="138" spans="1:7">
      <c r="A138">
        <v>109</v>
      </c>
      <c r="B138">
        <v>4.6163766784977902</v>
      </c>
      <c r="C138">
        <v>-0.316376678497788</v>
      </c>
      <c r="D138">
        <v>-1.84908741506096</v>
      </c>
      <c r="F138">
        <v>70.915032679738601</v>
      </c>
      <c r="G138">
        <v>4.7</v>
      </c>
    </row>
    <row r="139" spans="1:7">
      <c r="A139">
        <v>110</v>
      </c>
      <c r="B139">
        <v>4.6861085051212701</v>
      </c>
      <c r="C139">
        <v>1.3891494878731E-2</v>
      </c>
      <c r="D139">
        <v>8.1189891993966298E-2</v>
      </c>
      <c r="F139">
        <v>71.568627450980401</v>
      </c>
      <c r="G139">
        <v>4.7</v>
      </c>
    </row>
    <row r="140" spans="1:7">
      <c r="A140">
        <v>111</v>
      </c>
      <c r="B140">
        <v>4.5566218946079804</v>
      </c>
      <c r="C140">
        <v>0.24337810539202401</v>
      </c>
      <c r="D140">
        <v>1.4224417359667001</v>
      </c>
      <c r="F140">
        <v>72.2222222222222</v>
      </c>
      <c r="G140">
        <v>4.7</v>
      </c>
    </row>
    <row r="141" spans="1:7">
      <c r="A141">
        <v>112</v>
      </c>
      <c r="B141">
        <v>4.6419137920790501</v>
      </c>
      <c r="C141">
        <v>-4.1913792079053103E-2</v>
      </c>
      <c r="D141">
        <v>-0.24496832642296201</v>
      </c>
      <c r="F141">
        <v>72.875816993464099</v>
      </c>
      <c r="G141">
        <v>4.7</v>
      </c>
    </row>
    <row r="142" spans="1:7">
      <c r="A142">
        <v>113</v>
      </c>
      <c r="B142">
        <v>4.6045690427628898</v>
      </c>
      <c r="C142">
        <v>-4.5690427628901596E-3</v>
      </c>
      <c r="D142">
        <v>-2.6704115840177602E-2</v>
      </c>
      <c r="F142">
        <v>73.529411764705898</v>
      </c>
      <c r="G142">
        <v>4.7</v>
      </c>
    </row>
    <row r="143" spans="1:7">
      <c r="A143">
        <v>114</v>
      </c>
      <c r="B143">
        <v>4.6247382226276201</v>
      </c>
      <c r="C143">
        <v>0.175261777372375</v>
      </c>
      <c r="D143">
        <v>1.0243307073683099</v>
      </c>
      <c r="F143">
        <v>74.183006535947698</v>
      </c>
      <c r="G143">
        <v>4.7</v>
      </c>
    </row>
    <row r="144" spans="1:7">
      <c r="A144">
        <v>115</v>
      </c>
      <c r="B144">
        <v>4.6032431596046797</v>
      </c>
      <c r="C144">
        <v>0.19675684039531699</v>
      </c>
      <c r="D144">
        <v>1.1499602281989401</v>
      </c>
      <c r="F144">
        <v>74.836601307189596</v>
      </c>
      <c r="G144">
        <v>4.7</v>
      </c>
    </row>
    <row r="145" spans="1:7">
      <c r="A145">
        <v>116</v>
      </c>
      <c r="B145">
        <v>4.5824643299362</v>
      </c>
      <c r="C145">
        <v>0.117535670063802</v>
      </c>
      <c r="D145">
        <v>0.68694610920018495</v>
      </c>
      <c r="F145">
        <v>75.490196078431396</v>
      </c>
      <c r="G145">
        <v>4.8</v>
      </c>
    </row>
    <row r="146" spans="1:7">
      <c r="A146">
        <v>117</v>
      </c>
      <c r="B146">
        <v>4.6319543176428004</v>
      </c>
      <c r="C146">
        <v>6.8045682357204207E-2</v>
      </c>
      <c r="D146">
        <v>0.39769813468353199</v>
      </c>
      <c r="F146">
        <v>76.143790849673195</v>
      </c>
      <c r="G146">
        <v>4.8</v>
      </c>
    </row>
    <row r="147" spans="1:7">
      <c r="A147">
        <v>118</v>
      </c>
      <c r="B147">
        <v>4.6477915545291504</v>
      </c>
      <c r="C147">
        <v>-0.347791554529152</v>
      </c>
      <c r="D147">
        <v>-2.0326940329416199</v>
      </c>
      <c r="F147">
        <v>76.797385620914994</v>
      </c>
      <c r="G147">
        <v>4.8</v>
      </c>
    </row>
    <row r="148" spans="1:7">
      <c r="A148">
        <v>119</v>
      </c>
      <c r="B148">
        <v>4.6302408540082096</v>
      </c>
      <c r="C148">
        <v>-3.0240854008210898E-2</v>
      </c>
      <c r="D148">
        <v>-0.17674495741211699</v>
      </c>
      <c r="F148">
        <v>77.450980392156893</v>
      </c>
      <c r="G148">
        <v>4.8</v>
      </c>
    </row>
    <row r="149" spans="1:7">
      <c r="A149">
        <v>120</v>
      </c>
      <c r="B149">
        <v>4.6276006996547503</v>
      </c>
      <c r="C149">
        <v>-0.22760069965474999</v>
      </c>
      <c r="D149">
        <v>-1.33022949538807</v>
      </c>
      <c r="F149">
        <v>78.104575163398707</v>
      </c>
      <c r="G149">
        <v>4.8</v>
      </c>
    </row>
    <row r="150" spans="1:7">
      <c r="A150">
        <v>121</v>
      </c>
      <c r="B150">
        <v>4.6426357414247503</v>
      </c>
      <c r="C150">
        <v>0.15736425857524899</v>
      </c>
      <c r="D150">
        <v>0.91972730573415795</v>
      </c>
      <c r="F150">
        <v>78.758169934640506</v>
      </c>
      <c r="G150">
        <v>4.8</v>
      </c>
    </row>
    <row r="151" spans="1:7">
      <c r="A151">
        <v>122</v>
      </c>
      <c r="B151">
        <v>4.6256879945839096</v>
      </c>
      <c r="C151">
        <v>7.4312005416095103E-2</v>
      </c>
      <c r="D151">
        <v>0.43432213352541399</v>
      </c>
      <c r="F151">
        <v>79.411764705882405</v>
      </c>
      <c r="G151">
        <v>4.8</v>
      </c>
    </row>
    <row r="152" spans="1:7">
      <c r="A152">
        <v>123</v>
      </c>
      <c r="B152">
        <v>4.5780315379638896</v>
      </c>
      <c r="C152">
        <v>0.12196846203610601</v>
      </c>
      <c r="D152">
        <v>0.71285389699443602</v>
      </c>
      <c r="F152">
        <v>80.065359477124204</v>
      </c>
      <c r="G152">
        <v>4.8</v>
      </c>
    </row>
    <row r="153" spans="1:7">
      <c r="A153">
        <v>124</v>
      </c>
      <c r="B153">
        <v>4.5425264640081702</v>
      </c>
      <c r="C153">
        <v>5.7473535991830402E-2</v>
      </c>
      <c r="D153">
        <v>0.33590842601342202</v>
      </c>
      <c r="F153">
        <v>80.718954248366003</v>
      </c>
      <c r="G153">
        <v>4.8</v>
      </c>
    </row>
    <row r="154" spans="1:7">
      <c r="A154">
        <v>125</v>
      </c>
      <c r="B154">
        <v>4.6732914771467904</v>
      </c>
      <c r="C154">
        <v>-7.3291477146786299E-2</v>
      </c>
      <c r="D154">
        <v>-0.42835757890510201</v>
      </c>
      <c r="F154">
        <v>81.372549019607803</v>
      </c>
      <c r="G154">
        <v>4.8</v>
      </c>
    </row>
    <row r="155" spans="1:7">
      <c r="A155">
        <v>126</v>
      </c>
      <c r="B155">
        <v>4.5309085151768898</v>
      </c>
      <c r="C155">
        <v>0.16909148482311501</v>
      </c>
      <c r="D155">
        <v>0.98826796609971601</v>
      </c>
      <c r="F155">
        <v>82.026143790849702</v>
      </c>
      <c r="G155">
        <v>4.8</v>
      </c>
    </row>
    <row r="156" spans="1:7">
      <c r="A156">
        <v>127</v>
      </c>
      <c r="B156">
        <v>4.6429942343371504</v>
      </c>
      <c r="C156">
        <v>5.7005765662849803E-2</v>
      </c>
      <c r="D156">
        <v>0.333174506962992</v>
      </c>
      <c r="F156">
        <v>82.679738562091501</v>
      </c>
      <c r="G156">
        <v>4.8</v>
      </c>
    </row>
    <row r="157" spans="1:7">
      <c r="A157">
        <v>128</v>
      </c>
      <c r="B157">
        <v>4.6400850872273498</v>
      </c>
      <c r="C157">
        <v>5.9914912772645899E-2</v>
      </c>
      <c r="D157">
        <v>0.35017723717315402</v>
      </c>
      <c r="F157">
        <v>83.3333333333333</v>
      </c>
      <c r="G157">
        <v>4.8</v>
      </c>
    </row>
    <row r="158" spans="1:7">
      <c r="A158">
        <v>129</v>
      </c>
      <c r="B158">
        <v>4.6377969340684997</v>
      </c>
      <c r="C158">
        <v>0.162203065931498</v>
      </c>
      <c r="D158">
        <v>0.94800808113400004</v>
      </c>
      <c r="F158">
        <v>83.986928104575199</v>
      </c>
      <c r="G158">
        <v>4.8</v>
      </c>
    </row>
    <row r="159" spans="1:7">
      <c r="A159">
        <v>130</v>
      </c>
      <c r="B159">
        <v>4.6011907837054</v>
      </c>
      <c r="C159">
        <v>9.8809216294604596E-2</v>
      </c>
      <c r="D159">
        <v>0.57749793445557995</v>
      </c>
      <c r="F159">
        <v>84.640522875816998</v>
      </c>
      <c r="G159">
        <v>4.8</v>
      </c>
    </row>
    <row r="160" spans="1:7">
      <c r="A160">
        <v>131</v>
      </c>
      <c r="B160">
        <v>4.6117884984702098</v>
      </c>
      <c r="C160">
        <v>-0.11178849847021199</v>
      </c>
      <c r="D160">
        <v>-0.65335633034429297</v>
      </c>
      <c r="F160">
        <v>85.294117647058798</v>
      </c>
      <c r="G160">
        <v>4.8</v>
      </c>
    </row>
    <row r="161" spans="1:7">
      <c r="A161">
        <v>132</v>
      </c>
      <c r="B161">
        <v>4.6337525341810499</v>
      </c>
      <c r="C161">
        <v>0.16624746581894501</v>
      </c>
      <c r="D161">
        <v>0.97164588202647195</v>
      </c>
      <c r="F161">
        <v>85.947712418300696</v>
      </c>
      <c r="G161">
        <v>4.8</v>
      </c>
    </row>
    <row r="162" spans="1:7">
      <c r="A162">
        <v>133</v>
      </c>
      <c r="B162">
        <v>4.6161639278165101</v>
      </c>
      <c r="C162">
        <v>-0.21616392781650801</v>
      </c>
      <c r="D162">
        <v>-1.2633864177774601</v>
      </c>
      <c r="F162">
        <v>86.601307189542496</v>
      </c>
      <c r="G162">
        <v>4.8</v>
      </c>
    </row>
    <row r="163" spans="1:7">
      <c r="A163">
        <v>134</v>
      </c>
      <c r="B163">
        <v>4.6188317824313501</v>
      </c>
      <c r="C163">
        <v>-0.118831782431346</v>
      </c>
      <c r="D163">
        <v>-0.69452133591635601</v>
      </c>
      <c r="F163">
        <v>87.254901960784295</v>
      </c>
      <c r="G163">
        <v>4.8</v>
      </c>
    </row>
    <row r="164" spans="1:7">
      <c r="A164">
        <v>135</v>
      </c>
      <c r="B164">
        <v>4.6524072766075504</v>
      </c>
      <c r="C164">
        <v>-5.2407276607554301E-2</v>
      </c>
      <c r="D164">
        <v>-0.30629829004075798</v>
      </c>
      <c r="F164">
        <v>87.908496732026194</v>
      </c>
      <c r="G164">
        <v>4.8</v>
      </c>
    </row>
    <row r="165" spans="1:7">
      <c r="A165">
        <v>136</v>
      </c>
      <c r="B165">
        <v>4.7240257534246304</v>
      </c>
      <c r="C165">
        <v>7.5974246575373897E-2</v>
      </c>
      <c r="D165">
        <v>0.44403722764364301</v>
      </c>
      <c r="F165">
        <v>88.562091503267993</v>
      </c>
      <c r="G165">
        <v>4.8</v>
      </c>
    </row>
    <row r="166" spans="1:7">
      <c r="A166">
        <v>137</v>
      </c>
      <c r="B166">
        <v>4.6292420841871698</v>
      </c>
      <c r="C166">
        <v>0.17075791581283301</v>
      </c>
      <c r="D166">
        <v>0.99800754799869096</v>
      </c>
      <c r="F166">
        <v>89.215686274509807</v>
      </c>
      <c r="G166">
        <v>4.8</v>
      </c>
    </row>
    <row r="167" spans="1:7">
      <c r="A167">
        <v>138</v>
      </c>
      <c r="B167">
        <v>4.6054204753424104</v>
      </c>
      <c r="C167">
        <v>-0.10542047534240601</v>
      </c>
      <c r="D167">
        <v>-0.61613793776126802</v>
      </c>
      <c r="F167">
        <v>89.869281045751606</v>
      </c>
      <c r="G167">
        <v>4.8</v>
      </c>
    </row>
    <row r="168" spans="1:7">
      <c r="A168">
        <v>139</v>
      </c>
      <c r="B168">
        <v>4.5294523550191803</v>
      </c>
      <c r="C168">
        <v>7.0547644980819293E-2</v>
      </c>
      <c r="D168">
        <v>0.41232104438169997</v>
      </c>
      <c r="F168">
        <v>90.522875816993505</v>
      </c>
      <c r="G168">
        <v>4.8</v>
      </c>
    </row>
    <row r="169" spans="1:7">
      <c r="A169">
        <v>140</v>
      </c>
      <c r="B169">
        <v>4.60846888349419</v>
      </c>
      <c r="C169">
        <v>0.191531116505814</v>
      </c>
      <c r="D169">
        <v>1.11941808987021</v>
      </c>
      <c r="F169">
        <v>91.176470588235304</v>
      </c>
      <c r="G169">
        <v>4.8</v>
      </c>
    </row>
    <row r="170" spans="1:7">
      <c r="A170">
        <v>141</v>
      </c>
      <c r="B170">
        <v>4.5750065799055504</v>
      </c>
      <c r="C170">
        <v>2.4993420094451001E-2</v>
      </c>
      <c r="D170">
        <v>0.14607593320537399</v>
      </c>
      <c r="F170">
        <v>91.830065359477103</v>
      </c>
      <c r="G170">
        <v>4.8</v>
      </c>
    </row>
    <row r="171" spans="1:7">
      <c r="A171">
        <v>142</v>
      </c>
      <c r="B171">
        <v>4.8146400656711501</v>
      </c>
      <c r="C171">
        <v>-0.114640065671149</v>
      </c>
      <c r="D171">
        <v>-0.67002253042417503</v>
      </c>
      <c r="F171">
        <v>92.483660130719002</v>
      </c>
      <c r="G171">
        <v>4.8</v>
      </c>
    </row>
    <row r="172" spans="1:7">
      <c r="A172">
        <v>143</v>
      </c>
      <c r="B172">
        <v>4.5948166755202804</v>
      </c>
      <c r="C172">
        <v>0.20518332447972501</v>
      </c>
      <c r="D172">
        <v>1.19920945145924</v>
      </c>
      <c r="F172">
        <v>93.137254901960802</v>
      </c>
      <c r="G172">
        <v>4.8</v>
      </c>
    </row>
    <row r="173" spans="1:7">
      <c r="A173">
        <v>144</v>
      </c>
      <c r="B173">
        <v>4.5341754400480898</v>
      </c>
      <c r="C173">
        <v>0.16582455995190601</v>
      </c>
      <c r="D173">
        <v>0.96917417671553996</v>
      </c>
      <c r="F173">
        <v>93.790849673202601</v>
      </c>
      <c r="G173">
        <v>4.8</v>
      </c>
    </row>
    <row r="174" spans="1:7">
      <c r="A174">
        <v>145</v>
      </c>
      <c r="B174">
        <v>4.6006276219551596</v>
      </c>
      <c r="C174">
        <v>9.9372378044838797E-2</v>
      </c>
      <c r="D174">
        <v>0.58078937587896795</v>
      </c>
      <c r="F174">
        <v>94.4444444444445</v>
      </c>
      <c r="G174">
        <v>4.8</v>
      </c>
    </row>
    <row r="175" spans="1:7">
      <c r="A175">
        <v>146</v>
      </c>
      <c r="B175">
        <v>4.6246258010353296</v>
      </c>
      <c r="C175">
        <v>-2.4625801035325499E-2</v>
      </c>
      <c r="D175">
        <v>-0.14392735582289101</v>
      </c>
      <c r="F175">
        <v>95.098039215686299</v>
      </c>
      <c r="G175">
        <v>4.8</v>
      </c>
    </row>
    <row r="176" spans="1:7">
      <c r="A176">
        <v>147</v>
      </c>
      <c r="B176">
        <v>4.3921644892559</v>
      </c>
      <c r="C176">
        <v>0.107835510744104</v>
      </c>
      <c r="D176">
        <v>0.630252794739384</v>
      </c>
      <c r="F176">
        <v>95.751633986928098</v>
      </c>
      <c r="G176">
        <v>4.8</v>
      </c>
    </row>
    <row r="177" spans="1:7">
      <c r="A177">
        <v>148</v>
      </c>
      <c r="B177">
        <v>4.4944462849448898</v>
      </c>
      <c r="C177">
        <v>0.10555371505510699</v>
      </c>
      <c r="D177">
        <v>0.61691666733486406</v>
      </c>
      <c r="F177">
        <v>96.405228758169898</v>
      </c>
      <c r="G177">
        <v>4.8</v>
      </c>
    </row>
    <row r="178" spans="1:7">
      <c r="A178">
        <v>149</v>
      </c>
      <c r="B178">
        <v>4.5274572033298996</v>
      </c>
      <c r="C178">
        <v>-2.74572033299041E-2</v>
      </c>
      <c r="D178">
        <v>-0.16047570058312799</v>
      </c>
      <c r="F178">
        <v>97.058823529411796</v>
      </c>
      <c r="G178">
        <v>4.8</v>
      </c>
    </row>
    <row r="179" spans="1:7">
      <c r="A179">
        <v>150</v>
      </c>
      <c r="B179">
        <v>4.6214467745576604</v>
      </c>
      <c r="C179">
        <v>7.8553225442344193E-2</v>
      </c>
      <c r="D179">
        <v>0.45911026459840798</v>
      </c>
      <c r="F179">
        <v>97.712418300653596</v>
      </c>
      <c r="G179">
        <v>4.8</v>
      </c>
    </row>
    <row r="180" spans="1:7">
      <c r="A180">
        <v>151</v>
      </c>
      <c r="B180">
        <v>4.5874674326926597</v>
      </c>
      <c r="C180">
        <v>0.21253256730733999</v>
      </c>
      <c r="D180">
        <v>1.2421626567564701</v>
      </c>
      <c r="F180">
        <v>98.366013071895395</v>
      </c>
      <c r="G180">
        <v>4.9000000000000004</v>
      </c>
    </row>
    <row r="181" spans="1:7">
      <c r="A181">
        <v>152</v>
      </c>
      <c r="B181">
        <v>4.6083028134685797</v>
      </c>
      <c r="C181">
        <v>-8.3028134685800802E-3</v>
      </c>
      <c r="D181">
        <v>-4.8526420996790998E-2</v>
      </c>
      <c r="F181">
        <v>99.019607843137294</v>
      </c>
      <c r="G181">
        <v>4.9000000000000004</v>
      </c>
    </row>
    <row r="182" spans="1:7">
      <c r="A182" s="11">
        <v>153</v>
      </c>
      <c r="B182" s="11">
        <v>4.5352063269875602</v>
      </c>
      <c r="C182" s="11">
        <v>-3.5206326987559301E-2</v>
      </c>
      <c r="D182" s="11">
        <v>-0.205766039621887</v>
      </c>
      <c r="F182" s="11">
        <v>99.673202614379093</v>
      </c>
      <c r="G182" s="11">
        <v>4.9000000000000004</v>
      </c>
    </row>
  </sheetData>
  <sortState xmlns:xlrd2="http://schemas.microsoft.com/office/spreadsheetml/2017/richdata2" ref="G30:G182">
    <sortCondition ref="G30"/>
  </sortState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K22" sqref="K22"/>
    </sheetView>
  </sheetViews>
  <sheetFormatPr baseColWidth="10" defaultColWidth="11" defaultRowHeight="16"/>
  <sheetData>
    <row r="1" spans="1:3">
      <c r="A1" s="10"/>
      <c r="B1" s="10" t="s">
        <v>39</v>
      </c>
      <c r="C1" s="10" t="s">
        <v>40</v>
      </c>
    </row>
    <row r="2" spans="1:3">
      <c r="A2" t="s">
        <v>39</v>
      </c>
      <c r="B2">
        <v>1</v>
      </c>
    </row>
    <row r="3" spans="1:3">
      <c r="A3" s="11" t="s">
        <v>40</v>
      </c>
      <c r="B3" s="11">
        <v>0.715191010829758</v>
      </c>
      <c r="C3" s="11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activeCell="D7" sqref="D7"/>
    </sheetView>
  </sheetViews>
  <sheetFormatPr baseColWidth="10" defaultColWidth="11" defaultRowHeight="16"/>
  <sheetData>
    <row r="1" spans="1:3">
      <c r="A1" t="s">
        <v>41</v>
      </c>
    </row>
    <row r="3" spans="1:3">
      <c r="A3" s="10"/>
      <c r="B3" s="10" t="s">
        <v>42</v>
      </c>
      <c r="C3" s="10" t="s">
        <v>43</v>
      </c>
    </row>
    <row r="4" spans="1:3">
      <c r="A4" t="s">
        <v>44</v>
      </c>
      <c r="B4">
        <v>3.52941176470588</v>
      </c>
      <c r="C4">
        <v>3.9607843137254899</v>
      </c>
    </row>
    <row r="5" spans="1:3">
      <c r="A5" t="s">
        <v>45</v>
      </c>
      <c r="B5">
        <v>1.8691950464396301</v>
      </c>
      <c r="C5">
        <v>4.3273993808049598</v>
      </c>
    </row>
    <row r="6" spans="1:3">
      <c r="A6" t="s">
        <v>6</v>
      </c>
      <c r="B6">
        <v>153</v>
      </c>
      <c r="C6">
        <v>153</v>
      </c>
    </row>
    <row r="7" spans="1:3">
      <c r="A7" t="s">
        <v>46</v>
      </c>
      <c r="B7">
        <v>0.715191010829758</v>
      </c>
    </row>
    <row r="8" spans="1:3">
      <c r="A8" t="s">
        <v>47</v>
      </c>
      <c r="B8">
        <v>0</v>
      </c>
    </row>
    <row r="9" spans="1:3">
      <c r="A9" t="s">
        <v>8</v>
      </c>
      <c r="B9">
        <v>152</v>
      </c>
    </row>
    <row r="10" spans="1:3">
      <c r="A10" t="s">
        <v>17</v>
      </c>
      <c r="B10">
        <v>-3.65732142421199</v>
      </c>
    </row>
    <row r="11" spans="1:3">
      <c r="A11" t="s">
        <v>48</v>
      </c>
      <c r="B11">
        <v>1.7535516974736799E-4</v>
      </c>
    </row>
    <row r="12" spans="1:3">
      <c r="A12" t="s">
        <v>49</v>
      </c>
      <c r="B12">
        <v>1.65494017470787</v>
      </c>
    </row>
    <row r="13" spans="1:3">
      <c r="A13" t="s">
        <v>50</v>
      </c>
      <c r="B13">
        <v>3.5071033949473599E-4</v>
      </c>
    </row>
    <row r="14" spans="1:3">
      <c r="A14" s="11" t="s">
        <v>51</v>
      </c>
      <c r="B14" s="11">
        <v>1.9756939278152701</v>
      </c>
      <c r="C14" s="1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selection activeCell="D18" sqref="D18"/>
    </sheetView>
  </sheetViews>
  <sheetFormatPr baseColWidth="10" defaultColWidth="11" defaultRowHeight="16"/>
  <sheetData>
    <row r="1" spans="1:3">
      <c r="A1" t="s">
        <v>52</v>
      </c>
    </row>
    <row r="3" spans="1:3">
      <c r="A3" s="10"/>
      <c r="B3" s="10" t="s">
        <v>29</v>
      </c>
      <c r="C3" s="10" t="s">
        <v>31</v>
      </c>
    </row>
    <row r="4" spans="1:3">
      <c r="A4" t="s">
        <v>44</v>
      </c>
      <c r="B4">
        <v>3.52941176470588</v>
      </c>
      <c r="C4">
        <v>3.9607843137254899</v>
      </c>
    </row>
    <row r="5" spans="1:3">
      <c r="A5" t="s">
        <v>45</v>
      </c>
      <c r="B5">
        <v>1.8691950464396301</v>
      </c>
      <c r="C5">
        <v>4.3273993808049598</v>
      </c>
    </row>
    <row r="6" spans="1:3">
      <c r="A6" t="s">
        <v>6</v>
      </c>
      <c r="B6">
        <v>153</v>
      </c>
      <c r="C6">
        <v>153</v>
      </c>
    </row>
    <row r="7" spans="1:3">
      <c r="A7" t="s">
        <v>53</v>
      </c>
      <c r="B7">
        <v>3.0982972136222902</v>
      </c>
    </row>
    <row r="8" spans="1:3">
      <c r="A8" t="s">
        <v>47</v>
      </c>
      <c r="B8">
        <v>0</v>
      </c>
    </row>
    <row r="9" spans="1:3">
      <c r="A9" t="s">
        <v>8</v>
      </c>
      <c r="B9">
        <v>304</v>
      </c>
    </row>
    <row r="10" spans="1:3">
      <c r="A10" t="s">
        <v>17</v>
      </c>
      <c r="B10">
        <v>-2.1434910973541901</v>
      </c>
    </row>
    <row r="11" spans="1:3">
      <c r="A11" t="s">
        <v>48</v>
      </c>
      <c r="B11">
        <v>1.6433487878868301E-2</v>
      </c>
    </row>
    <row r="12" spans="1:3">
      <c r="A12" t="s">
        <v>49</v>
      </c>
      <c r="B12">
        <v>1.6498814280043701</v>
      </c>
    </row>
    <row r="13" spans="1:3">
      <c r="A13" t="s">
        <v>50</v>
      </c>
      <c r="B13">
        <v>3.2866975757736602E-2</v>
      </c>
    </row>
    <row r="14" spans="1:3">
      <c r="A14" s="11" t="s">
        <v>51</v>
      </c>
      <c r="B14" s="11">
        <v>1.96779814071704</v>
      </c>
      <c r="C14" s="1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K9" sqref="K9"/>
    </sheetView>
  </sheetViews>
  <sheetFormatPr baseColWidth="10" defaultColWidth="11" defaultRowHeight="16"/>
  <sheetData>
    <row r="1" spans="1:3">
      <c r="A1" s="10"/>
      <c r="B1" s="10" t="s">
        <v>29</v>
      </c>
      <c r="C1" s="10" t="s">
        <v>31</v>
      </c>
    </row>
    <row r="2" spans="1:3">
      <c r="A2" t="s">
        <v>29</v>
      </c>
      <c r="B2">
        <v>1</v>
      </c>
    </row>
    <row r="3" spans="1:3">
      <c r="A3" s="11" t="s">
        <v>31</v>
      </c>
      <c r="B3" s="11">
        <v>0.715191010829758</v>
      </c>
      <c r="C3" s="11">
        <v>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zoomScale="125" zoomScaleNormal="125" workbookViewId="0">
      <selection sqref="A1:C3"/>
    </sheetView>
  </sheetViews>
  <sheetFormatPr baseColWidth="10" defaultColWidth="11" defaultRowHeight="16"/>
  <sheetData>
    <row r="1" spans="1:3">
      <c r="A1" s="10"/>
      <c r="B1" s="10" t="s">
        <v>29</v>
      </c>
      <c r="C1" s="10" t="s">
        <v>31</v>
      </c>
    </row>
    <row r="2" spans="1:3">
      <c r="A2" t="s">
        <v>29</v>
      </c>
      <c r="B2">
        <v>1</v>
      </c>
    </row>
    <row r="3" spans="1:3">
      <c r="A3" s="11" t="s">
        <v>31</v>
      </c>
      <c r="B3" s="11">
        <v>0.715191010829758</v>
      </c>
      <c r="C3" s="11">
        <v>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workbookViewId="0">
      <selection activeCell="D10" sqref="D10"/>
    </sheetView>
  </sheetViews>
  <sheetFormatPr baseColWidth="10" defaultColWidth="11" defaultRowHeight="16"/>
  <sheetData>
    <row r="1" spans="1:3">
      <c r="A1" t="s">
        <v>41</v>
      </c>
    </row>
    <row r="3" spans="1:3">
      <c r="A3" s="10"/>
      <c r="B3" s="10">
        <v>4</v>
      </c>
      <c r="C3" s="10">
        <v>1</v>
      </c>
    </row>
    <row r="4" spans="1:3">
      <c r="A4" t="s">
        <v>44</v>
      </c>
      <c r="B4">
        <v>3.5263157894736801</v>
      </c>
      <c r="C4">
        <v>3.9802631578947398</v>
      </c>
    </row>
    <row r="5" spans="1:3">
      <c r="A5" t="s">
        <v>45</v>
      </c>
      <c r="B5">
        <v>1.8800975949808301</v>
      </c>
      <c r="C5">
        <v>4.2976211223422798</v>
      </c>
    </row>
    <row r="6" spans="1:3">
      <c r="A6" t="s">
        <v>6</v>
      </c>
      <c r="B6">
        <v>152</v>
      </c>
      <c r="C6">
        <v>152</v>
      </c>
    </row>
    <row r="7" spans="1:3">
      <c r="A7" t="s">
        <v>46</v>
      </c>
      <c r="B7">
        <v>0.72358708497855795</v>
      </c>
    </row>
    <row r="8" spans="1:3">
      <c r="A8" t="s">
        <v>47</v>
      </c>
      <c r="B8">
        <v>0</v>
      </c>
    </row>
    <row r="9" spans="1:3">
      <c r="A9" t="s">
        <v>8</v>
      </c>
      <c r="B9">
        <v>151</v>
      </c>
    </row>
    <row r="10" spans="1:3">
      <c r="A10" t="s">
        <v>17</v>
      </c>
      <c r="B10">
        <v>-3.8954977056430402</v>
      </c>
    </row>
    <row r="11" spans="1:3">
      <c r="A11" t="s">
        <v>48</v>
      </c>
      <c r="B11">
        <v>7.3412393602922805E-5</v>
      </c>
    </row>
    <row r="12" spans="1:3">
      <c r="A12" t="s">
        <v>49</v>
      </c>
      <c r="B12">
        <v>1.6550073865802399</v>
      </c>
    </row>
    <row r="13" spans="1:3">
      <c r="A13" t="s">
        <v>50</v>
      </c>
      <c r="B13">
        <v>1.4682478720584599E-4</v>
      </c>
    </row>
    <row r="14" spans="1:3">
      <c r="A14" s="11" t="s">
        <v>51</v>
      </c>
      <c r="B14" s="11">
        <v>1.9757989238179401</v>
      </c>
      <c r="C14" s="11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"/>
  <sheetViews>
    <sheetView workbookViewId="0">
      <selection sqref="A1:C14"/>
    </sheetView>
  </sheetViews>
  <sheetFormatPr baseColWidth="10" defaultColWidth="11" defaultRowHeight="16"/>
  <sheetData>
    <row r="1" spans="1:3">
      <c r="A1" t="s">
        <v>41</v>
      </c>
    </row>
    <row r="3" spans="1:3">
      <c r="A3" s="10"/>
      <c r="B3" s="10" t="s">
        <v>29</v>
      </c>
      <c r="C3" s="10" t="s">
        <v>31</v>
      </c>
    </row>
    <row r="4" spans="1:3">
      <c r="A4" t="s">
        <v>44</v>
      </c>
      <c r="B4">
        <v>3.52941176470588</v>
      </c>
      <c r="C4">
        <v>3.9607843137254899</v>
      </c>
    </row>
    <row r="5" spans="1:3">
      <c r="A5" t="s">
        <v>45</v>
      </c>
      <c r="B5">
        <v>1.8691950464396301</v>
      </c>
      <c r="C5">
        <v>4.3273993808049598</v>
      </c>
    </row>
    <row r="6" spans="1:3">
      <c r="A6" t="s">
        <v>6</v>
      </c>
      <c r="B6">
        <v>153</v>
      </c>
      <c r="C6">
        <v>153</v>
      </c>
    </row>
    <row r="7" spans="1:3">
      <c r="A7" t="s">
        <v>46</v>
      </c>
      <c r="B7">
        <v>0.715191010829758</v>
      </c>
    </row>
    <row r="8" spans="1:3">
      <c r="A8" t="s">
        <v>47</v>
      </c>
      <c r="B8">
        <v>0</v>
      </c>
    </row>
    <row r="9" spans="1:3">
      <c r="A9" t="s">
        <v>8</v>
      </c>
      <c r="B9">
        <v>152</v>
      </c>
    </row>
    <row r="10" spans="1:3">
      <c r="A10" t="s">
        <v>17</v>
      </c>
      <c r="B10">
        <v>-3.65732142421199</v>
      </c>
    </row>
    <row r="11" spans="1:3">
      <c r="A11" t="s">
        <v>48</v>
      </c>
      <c r="B11">
        <v>1.7535516974736799E-4</v>
      </c>
    </row>
    <row r="12" spans="1:3">
      <c r="A12" t="s">
        <v>49</v>
      </c>
      <c r="B12">
        <v>1.65494017470787</v>
      </c>
    </row>
    <row r="13" spans="1:3">
      <c r="A13" t="s">
        <v>50</v>
      </c>
      <c r="B13">
        <v>3.5071033949473599E-4</v>
      </c>
    </row>
    <row r="14" spans="1:3">
      <c r="A14" s="11" t="s">
        <v>51</v>
      </c>
      <c r="B14" s="11">
        <v>1.9756939278152701</v>
      </c>
      <c r="C14" s="11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35"/>
  <sheetViews>
    <sheetView tabSelected="1" topLeftCell="E1" zoomScale="106" zoomScaleNormal="106" workbookViewId="0">
      <selection activeCell="M29" sqref="M29"/>
    </sheetView>
  </sheetViews>
  <sheetFormatPr baseColWidth="10" defaultColWidth="11" defaultRowHeight="16"/>
  <cols>
    <col min="3" max="3" width="10.83203125" style="1"/>
    <col min="6" max="7" width="11" style="2"/>
    <col min="8" max="8" width="17.1640625" style="2" customWidth="1"/>
    <col min="9" max="9" width="12.33203125" style="2" customWidth="1"/>
    <col min="10" max="10" width="11" style="3"/>
    <col min="11" max="12" width="11" style="2"/>
    <col min="13" max="13" width="35.33203125" style="2" customWidth="1"/>
    <col min="14" max="14" width="41.1640625" style="2" customWidth="1"/>
    <col min="15" max="16" width="11" style="2"/>
  </cols>
  <sheetData>
    <row r="1" spans="1:18" ht="30" customHeight="1">
      <c r="A1" t="s">
        <v>54</v>
      </c>
      <c r="B1" t="s">
        <v>55</v>
      </c>
      <c r="C1" s="1" t="s">
        <v>56</v>
      </c>
      <c r="D1" s="2" t="s">
        <v>57</v>
      </c>
      <c r="E1" s="1" t="s">
        <v>58</v>
      </c>
      <c r="F1" s="6" t="s">
        <v>355</v>
      </c>
      <c r="G1" s="6" t="s">
        <v>356</v>
      </c>
      <c r="H1" s="6" t="s">
        <v>357</v>
      </c>
      <c r="I1" s="6" t="s">
        <v>358</v>
      </c>
      <c r="J1" s="7" t="s">
        <v>59</v>
      </c>
      <c r="K1" s="6" t="s">
        <v>27</v>
      </c>
      <c r="L1" s="1" t="s">
        <v>28</v>
      </c>
      <c r="M1" s="6" t="s">
        <v>60</v>
      </c>
      <c r="N1" s="6" t="s">
        <v>61</v>
      </c>
      <c r="O1" s="1" t="s">
        <v>32</v>
      </c>
      <c r="P1" s="9" t="s">
        <v>62</v>
      </c>
      <c r="R1" s="7" t="s">
        <v>63</v>
      </c>
    </row>
    <row r="2" spans="1:18">
      <c r="A2" t="s">
        <v>64</v>
      </c>
      <c r="B2" t="s">
        <v>64</v>
      </c>
      <c r="C2" s="2">
        <v>3</v>
      </c>
      <c r="D2" s="1" t="s">
        <v>65</v>
      </c>
      <c r="E2" s="1" t="s">
        <v>66</v>
      </c>
      <c r="F2" s="2">
        <v>4.5</v>
      </c>
      <c r="G2" s="2">
        <v>4.5</v>
      </c>
      <c r="H2" s="2">
        <v>4.7</v>
      </c>
      <c r="I2" s="2">
        <v>4.5999999999999996</v>
      </c>
      <c r="J2" s="8">
        <v>69</v>
      </c>
      <c r="K2" s="2">
        <v>2426</v>
      </c>
      <c r="L2" s="2">
        <v>5</v>
      </c>
      <c r="M2" s="2">
        <v>4</v>
      </c>
      <c r="N2" s="2">
        <v>1</v>
      </c>
      <c r="O2" s="2">
        <v>1058</v>
      </c>
      <c r="P2" s="2">
        <v>3</v>
      </c>
      <c r="R2">
        <f t="shared" ref="R2:R11" si="0">J2*1000</f>
        <v>69000</v>
      </c>
    </row>
    <row r="3" spans="1:18">
      <c r="A3" t="s">
        <v>64</v>
      </c>
      <c r="B3" t="s">
        <v>64</v>
      </c>
      <c r="C3" s="2">
        <v>3</v>
      </c>
      <c r="D3" s="1" t="s">
        <v>67</v>
      </c>
      <c r="E3" s="1" t="s">
        <v>68</v>
      </c>
      <c r="F3" s="2">
        <v>4.8</v>
      </c>
      <c r="G3" s="2">
        <v>4.8</v>
      </c>
      <c r="H3" s="2">
        <v>4.9000000000000004</v>
      </c>
      <c r="I3" s="2">
        <v>4.8</v>
      </c>
      <c r="J3" s="8">
        <v>26.9</v>
      </c>
      <c r="K3" s="2">
        <v>819</v>
      </c>
      <c r="L3" s="2">
        <v>2</v>
      </c>
      <c r="M3" s="2">
        <v>1</v>
      </c>
      <c r="N3" s="2">
        <v>1</v>
      </c>
      <c r="O3" s="2">
        <v>997</v>
      </c>
      <c r="P3" s="2">
        <v>9</v>
      </c>
      <c r="R3">
        <f t="shared" si="0"/>
        <v>26900</v>
      </c>
    </row>
    <row r="4" spans="1:18">
      <c r="A4" t="s">
        <v>64</v>
      </c>
      <c r="B4" t="s">
        <v>64</v>
      </c>
      <c r="C4" s="2">
        <v>2</v>
      </c>
      <c r="D4" s="1" t="s">
        <v>69</v>
      </c>
      <c r="E4" s="1" t="s">
        <v>70</v>
      </c>
      <c r="F4" s="2">
        <v>4.5999999999999996</v>
      </c>
      <c r="G4" s="2">
        <v>4.4000000000000004</v>
      </c>
      <c r="H4" s="2">
        <v>4.7</v>
      </c>
      <c r="I4" s="2">
        <v>4.5999999999999996</v>
      </c>
      <c r="J4" s="3">
        <v>75.900000000000006</v>
      </c>
      <c r="K4" s="2">
        <v>2609</v>
      </c>
      <c r="L4" s="2">
        <v>16</v>
      </c>
      <c r="M4" s="2">
        <v>5</v>
      </c>
      <c r="N4" s="2">
        <v>7</v>
      </c>
      <c r="O4" s="2">
        <v>1121</v>
      </c>
      <c r="P4" s="2">
        <v>0</v>
      </c>
      <c r="R4">
        <f t="shared" si="0"/>
        <v>75900</v>
      </c>
    </row>
    <row r="5" spans="1:18">
      <c r="A5" t="s">
        <v>64</v>
      </c>
      <c r="B5" t="s">
        <v>64</v>
      </c>
      <c r="C5" s="2">
        <v>2</v>
      </c>
      <c r="D5" s="1" t="s">
        <v>71</v>
      </c>
      <c r="E5" s="1" t="s">
        <v>72</v>
      </c>
      <c r="F5" s="2">
        <v>4.5999999999999996</v>
      </c>
      <c r="G5" s="2">
        <v>4.4000000000000004</v>
      </c>
      <c r="H5" s="2">
        <v>4.8</v>
      </c>
      <c r="I5" s="2">
        <v>4.7</v>
      </c>
      <c r="J5" s="3">
        <v>205.4</v>
      </c>
      <c r="K5" s="2">
        <v>6628</v>
      </c>
      <c r="L5" s="2">
        <v>10</v>
      </c>
      <c r="M5" s="2">
        <v>5</v>
      </c>
      <c r="N5" s="2">
        <v>7</v>
      </c>
      <c r="O5" s="2">
        <v>1159</v>
      </c>
      <c r="P5" s="2">
        <v>3</v>
      </c>
      <c r="R5">
        <f t="shared" si="0"/>
        <v>205400</v>
      </c>
    </row>
    <row r="6" spans="1:18">
      <c r="A6" t="s">
        <v>64</v>
      </c>
      <c r="B6" t="s">
        <v>64</v>
      </c>
      <c r="C6" s="2">
        <v>2</v>
      </c>
      <c r="D6" s="1" t="s">
        <v>73</v>
      </c>
      <c r="E6" s="1" t="s">
        <v>74</v>
      </c>
      <c r="F6" s="2">
        <v>4.4000000000000004</v>
      </c>
      <c r="G6" s="2">
        <v>4.3</v>
      </c>
      <c r="H6" s="2">
        <v>4.8</v>
      </c>
      <c r="I6" s="2">
        <v>4.5999999999999996</v>
      </c>
      <c r="J6" s="3">
        <v>158.5</v>
      </c>
      <c r="K6" s="2">
        <v>4632</v>
      </c>
      <c r="L6" s="2">
        <v>7</v>
      </c>
      <c r="M6" s="2">
        <v>5</v>
      </c>
      <c r="N6" s="2">
        <v>6</v>
      </c>
      <c r="O6" s="2">
        <v>1439</v>
      </c>
      <c r="P6" s="2">
        <v>0</v>
      </c>
      <c r="R6">
        <f t="shared" si="0"/>
        <v>158500</v>
      </c>
    </row>
    <row r="7" spans="1:18">
      <c r="A7" t="s">
        <v>64</v>
      </c>
      <c r="B7" t="s">
        <v>64</v>
      </c>
      <c r="C7" s="2">
        <v>2</v>
      </c>
      <c r="D7" s="1" t="s">
        <v>75</v>
      </c>
      <c r="E7" s="1" t="s">
        <v>76</v>
      </c>
      <c r="F7" s="2">
        <v>4.8</v>
      </c>
      <c r="G7" s="2">
        <v>4.8</v>
      </c>
      <c r="H7" s="2">
        <v>4.8</v>
      </c>
      <c r="I7" s="2">
        <v>4.8</v>
      </c>
      <c r="J7" s="3">
        <v>84.9</v>
      </c>
      <c r="K7" s="2">
        <v>1723</v>
      </c>
      <c r="L7" s="2">
        <v>13</v>
      </c>
      <c r="M7" s="2">
        <v>6</v>
      </c>
      <c r="N7" s="2">
        <v>6</v>
      </c>
      <c r="O7" s="2">
        <v>2313</v>
      </c>
      <c r="P7" s="2">
        <v>5</v>
      </c>
      <c r="R7">
        <f t="shared" si="0"/>
        <v>84900</v>
      </c>
    </row>
    <row r="8" spans="1:18">
      <c r="A8" t="s">
        <v>64</v>
      </c>
      <c r="B8" t="s">
        <v>64</v>
      </c>
      <c r="C8" s="2">
        <v>2</v>
      </c>
      <c r="D8" s="1" t="s">
        <v>77</v>
      </c>
      <c r="E8" s="1" t="s">
        <v>78</v>
      </c>
      <c r="F8" s="2">
        <v>4.5999999999999996</v>
      </c>
      <c r="G8" s="2">
        <v>4.4000000000000004</v>
      </c>
      <c r="H8" s="2">
        <v>4.8</v>
      </c>
      <c r="I8" s="2">
        <v>4.7</v>
      </c>
      <c r="J8" s="3">
        <v>111.2</v>
      </c>
      <c r="K8" s="2">
        <v>3032</v>
      </c>
      <c r="L8" s="2">
        <v>5</v>
      </c>
      <c r="M8" s="2">
        <v>5</v>
      </c>
      <c r="N8" s="2">
        <v>5</v>
      </c>
      <c r="O8" s="2">
        <v>1476</v>
      </c>
      <c r="P8" s="2">
        <v>0</v>
      </c>
      <c r="Q8" t="s">
        <v>79</v>
      </c>
      <c r="R8">
        <f t="shared" si="0"/>
        <v>111200</v>
      </c>
    </row>
    <row r="9" spans="1:18">
      <c r="A9" t="s">
        <v>64</v>
      </c>
      <c r="B9" t="s">
        <v>64</v>
      </c>
      <c r="C9" s="2">
        <v>2</v>
      </c>
      <c r="D9" s="1" t="s">
        <v>80</v>
      </c>
      <c r="E9" s="1" t="s">
        <v>81</v>
      </c>
      <c r="F9" s="2">
        <v>4.5999999999999996</v>
      </c>
      <c r="G9" s="2">
        <v>4.5999999999999996</v>
      </c>
      <c r="H9" s="2">
        <v>4.8</v>
      </c>
      <c r="I9" s="2">
        <v>4.8</v>
      </c>
      <c r="J9" s="3">
        <v>109.5</v>
      </c>
      <c r="K9" s="2">
        <v>5100</v>
      </c>
      <c r="L9" s="2">
        <v>5</v>
      </c>
      <c r="M9" s="2">
        <v>4</v>
      </c>
      <c r="N9" s="2">
        <v>5</v>
      </c>
      <c r="O9" s="2">
        <v>538</v>
      </c>
      <c r="P9" s="2">
        <v>0</v>
      </c>
      <c r="R9">
        <f t="shared" si="0"/>
        <v>109500</v>
      </c>
    </row>
    <row r="10" spans="1:18">
      <c r="A10" t="s">
        <v>64</v>
      </c>
      <c r="B10" t="s">
        <v>64</v>
      </c>
      <c r="C10" s="2">
        <v>2</v>
      </c>
      <c r="D10" s="1" t="s">
        <v>82</v>
      </c>
      <c r="E10" s="1" t="s">
        <v>74</v>
      </c>
      <c r="F10" s="2">
        <v>4.8</v>
      </c>
      <c r="G10" s="2">
        <v>4.8</v>
      </c>
      <c r="H10" s="2">
        <v>4.9000000000000004</v>
      </c>
      <c r="I10" s="2">
        <v>4.9000000000000004</v>
      </c>
      <c r="J10" s="3">
        <v>224.3</v>
      </c>
      <c r="K10" s="2">
        <v>1722</v>
      </c>
      <c r="L10" s="2">
        <v>11</v>
      </c>
      <c r="M10" s="2">
        <v>4</v>
      </c>
      <c r="N10" s="2">
        <v>7</v>
      </c>
      <c r="O10" s="2">
        <v>6580</v>
      </c>
      <c r="P10" s="2">
        <v>2</v>
      </c>
      <c r="R10">
        <f t="shared" si="0"/>
        <v>224300</v>
      </c>
    </row>
    <row r="11" spans="1:18">
      <c r="A11" t="s">
        <v>64</v>
      </c>
      <c r="B11" t="s">
        <v>64</v>
      </c>
      <c r="C11" s="2">
        <v>2</v>
      </c>
      <c r="D11" s="1" t="s">
        <v>83</v>
      </c>
      <c r="E11" s="1" t="s">
        <v>84</v>
      </c>
      <c r="F11" s="2">
        <v>4.4000000000000004</v>
      </c>
      <c r="G11" s="2">
        <v>4.4000000000000004</v>
      </c>
      <c r="H11" s="2">
        <v>4.8</v>
      </c>
      <c r="I11" s="2">
        <v>4.5999999999999996</v>
      </c>
      <c r="J11" s="3">
        <v>211.8</v>
      </c>
      <c r="K11" s="2">
        <v>4719</v>
      </c>
      <c r="L11" s="2">
        <v>4</v>
      </c>
      <c r="M11" s="2">
        <v>4</v>
      </c>
      <c r="N11" s="2">
        <v>4</v>
      </c>
      <c r="O11" s="2">
        <v>3019</v>
      </c>
      <c r="P11" s="2">
        <v>1</v>
      </c>
      <c r="R11">
        <f t="shared" si="0"/>
        <v>211800</v>
      </c>
    </row>
    <row r="12" spans="1:18">
      <c r="A12" t="s">
        <v>64</v>
      </c>
      <c r="B12" t="s">
        <v>64</v>
      </c>
      <c r="C12" s="2">
        <v>2</v>
      </c>
      <c r="D12" s="1" t="s">
        <v>85</v>
      </c>
      <c r="E12" s="1" t="s">
        <v>86</v>
      </c>
      <c r="F12" s="2">
        <v>4.5999999999999996</v>
      </c>
      <c r="G12" s="2">
        <v>4.5999999999999996</v>
      </c>
      <c r="H12" s="2">
        <v>4.7</v>
      </c>
      <c r="I12" s="2">
        <v>4.5999999999999996</v>
      </c>
      <c r="J12" s="3">
        <v>143.6</v>
      </c>
      <c r="K12" s="2">
        <v>4947</v>
      </c>
      <c r="L12" s="2">
        <v>5</v>
      </c>
      <c r="M12" s="2">
        <v>4</v>
      </c>
      <c r="N12" s="2">
        <v>4</v>
      </c>
      <c r="O12" s="2">
        <v>828</v>
      </c>
      <c r="P12" s="2">
        <v>2</v>
      </c>
      <c r="R12">
        <f t="shared" ref="R12:R75" si="1">J12*1000</f>
        <v>143600</v>
      </c>
    </row>
    <row r="13" spans="1:18">
      <c r="A13" t="s">
        <v>64</v>
      </c>
      <c r="B13" t="s">
        <v>64</v>
      </c>
      <c r="C13" s="2">
        <v>2</v>
      </c>
      <c r="D13" s="1" t="s">
        <v>87</v>
      </c>
      <c r="E13" s="1" t="s">
        <v>84</v>
      </c>
      <c r="F13" s="2">
        <v>4.3</v>
      </c>
      <c r="G13" s="2">
        <v>4.2</v>
      </c>
      <c r="H13" s="2">
        <v>4.5999999999999996</v>
      </c>
      <c r="I13" s="2">
        <v>4.5</v>
      </c>
      <c r="J13" s="3">
        <v>135.6</v>
      </c>
      <c r="K13" s="2">
        <v>3666</v>
      </c>
      <c r="L13" s="2">
        <v>12</v>
      </c>
      <c r="M13" s="2">
        <v>4</v>
      </c>
      <c r="N13" s="2">
        <v>7</v>
      </c>
      <c r="O13" s="2">
        <v>2317</v>
      </c>
      <c r="P13" s="2">
        <v>0</v>
      </c>
      <c r="R13">
        <f t="shared" si="1"/>
        <v>135600</v>
      </c>
    </row>
    <row r="14" spans="1:18">
      <c r="A14" t="s">
        <v>64</v>
      </c>
      <c r="B14" t="s">
        <v>64</v>
      </c>
      <c r="C14" s="2">
        <v>2</v>
      </c>
      <c r="D14" s="1" t="s">
        <v>88</v>
      </c>
      <c r="E14" s="1" t="s">
        <v>74</v>
      </c>
      <c r="F14" s="2">
        <v>4.5999999999999996</v>
      </c>
      <c r="G14" s="2">
        <v>4.4000000000000004</v>
      </c>
      <c r="H14" s="2">
        <v>4.8</v>
      </c>
      <c r="I14" s="2">
        <v>4.8</v>
      </c>
      <c r="J14" s="3">
        <v>155.80000000000001</v>
      </c>
      <c r="K14" s="2">
        <v>3778</v>
      </c>
      <c r="L14" s="2">
        <v>5</v>
      </c>
      <c r="M14" s="2">
        <v>4</v>
      </c>
      <c r="N14" s="2">
        <v>5</v>
      </c>
      <c r="O14" s="2">
        <v>1800</v>
      </c>
      <c r="P14" s="2">
        <v>0</v>
      </c>
      <c r="R14">
        <f t="shared" si="1"/>
        <v>155800</v>
      </c>
    </row>
    <row r="15" spans="1:18">
      <c r="A15" t="s">
        <v>64</v>
      </c>
      <c r="B15" t="s">
        <v>64</v>
      </c>
      <c r="C15" s="2">
        <v>1</v>
      </c>
      <c r="D15" s="1" t="s">
        <v>89</v>
      </c>
      <c r="E15" s="1" t="s">
        <v>70</v>
      </c>
      <c r="F15" s="2">
        <v>4.5999999999999996</v>
      </c>
      <c r="G15" s="2">
        <v>4.5999999999999996</v>
      </c>
      <c r="H15" s="2">
        <v>4.5999999999999996</v>
      </c>
      <c r="I15" s="2">
        <v>4.7</v>
      </c>
      <c r="J15" s="3">
        <v>38.1</v>
      </c>
      <c r="K15" s="2">
        <v>1327</v>
      </c>
      <c r="L15" s="2">
        <v>4</v>
      </c>
      <c r="M15" s="2">
        <v>4</v>
      </c>
      <c r="N15" s="2">
        <v>3</v>
      </c>
      <c r="O15" s="2">
        <v>518</v>
      </c>
      <c r="P15" s="2">
        <v>1</v>
      </c>
      <c r="R15">
        <f t="shared" si="1"/>
        <v>38100</v>
      </c>
    </row>
    <row r="16" spans="1:18">
      <c r="A16" t="s">
        <v>64</v>
      </c>
      <c r="B16" t="s">
        <v>64</v>
      </c>
      <c r="C16" s="2">
        <v>1</v>
      </c>
      <c r="D16" s="1" t="s">
        <v>90</v>
      </c>
      <c r="E16" s="1" t="s">
        <v>91</v>
      </c>
      <c r="F16" s="2">
        <v>4.8</v>
      </c>
      <c r="G16" s="2">
        <v>4.8</v>
      </c>
      <c r="H16" s="2">
        <v>4.8</v>
      </c>
      <c r="I16" s="2">
        <v>4.8</v>
      </c>
      <c r="J16" s="3">
        <v>21.6</v>
      </c>
      <c r="K16" s="2">
        <v>1416</v>
      </c>
      <c r="L16" s="2">
        <v>4</v>
      </c>
      <c r="M16" s="2">
        <v>3</v>
      </c>
      <c r="N16" s="2">
        <v>3</v>
      </c>
      <c r="O16" s="2">
        <v>460</v>
      </c>
      <c r="P16" s="2">
        <v>2</v>
      </c>
      <c r="R16">
        <f t="shared" si="1"/>
        <v>21600</v>
      </c>
    </row>
    <row r="17" spans="1:18">
      <c r="A17" t="s">
        <v>64</v>
      </c>
      <c r="B17" t="s">
        <v>64</v>
      </c>
      <c r="C17" s="2">
        <v>1</v>
      </c>
      <c r="D17" s="1" t="s">
        <v>92</v>
      </c>
      <c r="E17" s="1" t="s">
        <v>91</v>
      </c>
      <c r="F17" s="2">
        <v>4.3</v>
      </c>
      <c r="G17" s="2">
        <v>4.7</v>
      </c>
      <c r="H17" s="2">
        <v>4.4000000000000004</v>
      </c>
      <c r="I17" s="2">
        <v>4.4000000000000004</v>
      </c>
      <c r="J17" s="3">
        <v>57</v>
      </c>
      <c r="K17" s="2">
        <v>2429</v>
      </c>
      <c r="L17" s="2">
        <v>6</v>
      </c>
      <c r="M17" s="2">
        <v>5</v>
      </c>
      <c r="N17" s="2">
        <v>6</v>
      </c>
      <c r="O17" s="2">
        <v>836</v>
      </c>
      <c r="P17" s="2">
        <v>0</v>
      </c>
      <c r="R17">
        <f t="shared" si="1"/>
        <v>57000</v>
      </c>
    </row>
    <row r="18" spans="1:18">
      <c r="A18" t="s">
        <v>64</v>
      </c>
      <c r="B18" t="s">
        <v>64</v>
      </c>
      <c r="C18" s="2">
        <v>1</v>
      </c>
      <c r="D18" s="1" t="s">
        <v>93</v>
      </c>
      <c r="E18" s="1" t="s">
        <v>91</v>
      </c>
      <c r="F18" s="2">
        <v>4.7</v>
      </c>
      <c r="G18" s="2">
        <v>4.7</v>
      </c>
      <c r="H18" s="2">
        <v>4.5999999999999996</v>
      </c>
      <c r="I18" s="2">
        <v>4.8</v>
      </c>
      <c r="J18" s="3">
        <v>49.3</v>
      </c>
      <c r="K18" s="2">
        <v>1718</v>
      </c>
      <c r="L18" s="2">
        <v>4</v>
      </c>
      <c r="M18" s="2">
        <v>2</v>
      </c>
      <c r="N18" s="2">
        <v>3</v>
      </c>
      <c r="O18" s="2">
        <v>758</v>
      </c>
      <c r="P18" s="2">
        <v>2</v>
      </c>
      <c r="R18">
        <f t="shared" si="1"/>
        <v>49300</v>
      </c>
    </row>
    <row r="19" spans="1:18">
      <c r="A19" t="s">
        <v>64</v>
      </c>
      <c r="B19" t="s">
        <v>64</v>
      </c>
      <c r="C19" s="2">
        <v>1</v>
      </c>
      <c r="D19" s="1" t="s">
        <v>94</v>
      </c>
      <c r="E19" s="1" t="s">
        <v>91</v>
      </c>
      <c r="F19" s="2">
        <v>4.7</v>
      </c>
      <c r="G19" s="2">
        <v>4.7</v>
      </c>
      <c r="H19" s="2">
        <v>4.8</v>
      </c>
      <c r="I19" s="2">
        <v>4.8</v>
      </c>
      <c r="J19" s="3">
        <v>31.7</v>
      </c>
      <c r="K19" s="2">
        <v>737</v>
      </c>
      <c r="L19" s="2">
        <v>7</v>
      </c>
      <c r="M19" s="2">
        <v>5</v>
      </c>
      <c r="N19" s="2">
        <v>6</v>
      </c>
      <c r="O19" s="2">
        <v>980</v>
      </c>
      <c r="P19" s="2">
        <v>1</v>
      </c>
      <c r="R19">
        <f t="shared" si="1"/>
        <v>31700</v>
      </c>
    </row>
    <row r="20" spans="1:18">
      <c r="A20" t="s">
        <v>64</v>
      </c>
      <c r="B20" t="s">
        <v>64</v>
      </c>
      <c r="C20" s="2">
        <v>1</v>
      </c>
      <c r="D20" s="1" t="s">
        <v>95</v>
      </c>
      <c r="E20" s="1" t="s">
        <v>81</v>
      </c>
      <c r="F20" s="2">
        <v>4.4000000000000004</v>
      </c>
      <c r="G20" s="2">
        <v>4.4000000000000004</v>
      </c>
      <c r="H20" s="2">
        <v>4.4000000000000004</v>
      </c>
      <c r="I20" s="2">
        <v>4.3</v>
      </c>
      <c r="J20" s="3">
        <v>34.299999999999997</v>
      </c>
      <c r="K20" s="2">
        <v>2708</v>
      </c>
      <c r="L20" s="2">
        <v>16</v>
      </c>
      <c r="M20" s="2">
        <v>4</v>
      </c>
      <c r="N20" s="2">
        <v>2</v>
      </c>
      <c r="O20" s="2">
        <v>919</v>
      </c>
      <c r="P20" s="2">
        <v>2</v>
      </c>
      <c r="R20">
        <f t="shared" si="1"/>
        <v>34300</v>
      </c>
    </row>
    <row r="21" spans="1:18">
      <c r="A21" t="s">
        <v>64</v>
      </c>
      <c r="B21" t="s">
        <v>64</v>
      </c>
      <c r="C21" s="2">
        <v>1</v>
      </c>
      <c r="D21" s="1" t="s">
        <v>96</v>
      </c>
      <c r="E21" s="1" t="s">
        <v>74</v>
      </c>
      <c r="F21" s="2">
        <v>4.0999999999999996</v>
      </c>
      <c r="G21" s="2">
        <v>4.0999999999999996</v>
      </c>
      <c r="H21" s="2">
        <v>4.4000000000000004</v>
      </c>
      <c r="I21" s="2">
        <v>4</v>
      </c>
      <c r="J21" s="3">
        <v>279.7</v>
      </c>
      <c r="K21" s="2">
        <v>5744</v>
      </c>
      <c r="L21" s="2">
        <v>9</v>
      </c>
      <c r="M21" s="2">
        <v>3</v>
      </c>
      <c r="N21" s="2">
        <v>4</v>
      </c>
      <c r="O21" s="2">
        <v>812</v>
      </c>
      <c r="P21" s="2">
        <v>0</v>
      </c>
      <c r="R21">
        <f t="shared" si="1"/>
        <v>279700</v>
      </c>
    </row>
    <row r="22" spans="1:18">
      <c r="A22" t="s">
        <v>64</v>
      </c>
      <c r="B22" t="s">
        <v>64</v>
      </c>
      <c r="C22" s="2">
        <v>1</v>
      </c>
      <c r="D22" s="1" t="s">
        <v>97</v>
      </c>
      <c r="E22" s="1" t="s">
        <v>98</v>
      </c>
      <c r="F22" s="2">
        <v>4.3</v>
      </c>
      <c r="G22" s="2">
        <v>4.3</v>
      </c>
      <c r="H22" s="2">
        <v>4.5</v>
      </c>
      <c r="I22" s="2">
        <v>4.3</v>
      </c>
      <c r="J22" s="3">
        <v>184.2</v>
      </c>
      <c r="K22" s="2">
        <v>7406</v>
      </c>
      <c r="L22" s="2">
        <v>11</v>
      </c>
      <c r="M22" s="2">
        <v>4</v>
      </c>
      <c r="N22" s="2">
        <v>5</v>
      </c>
      <c r="O22" s="2">
        <v>556</v>
      </c>
      <c r="P22" s="2">
        <v>2</v>
      </c>
      <c r="Q22" t="s">
        <v>99</v>
      </c>
      <c r="R22">
        <f t="shared" si="1"/>
        <v>184200</v>
      </c>
    </row>
    <row r="23" spans="1:18">
      <c r="A23" t="s">
        <v>64</v>
      </c>
      <c r="B23" t="s">
        <v>64</v>
      </c>
      <c r="C23" s="2">
        <v>1</v>
      </c>
      <c r="D23" s="1" t="s">
        <v>100</v>
      </c>
      <c r="E23" s="1" t="s">
        <v>101</v>
      </c>
      <c r="F23" s="2">
        <v>4.5</v>
      </c>
      <c r="G23" s="2">
        <v>4.5</v>
      </c>
      <c r="H23" s="2">
        <v>4.5</v>
      </c>
      <c r="I23" s="2">
        <v>4.5</v>
      </c>
      <c r="J23" s="3">
        <v>26.3</v>
      </c>
      <c r="K23" s="2">
        <v>426</v>
      </c>
      <c r="L23" s="2">
        <v>2</v>
      </c>
      <c r="M23" s="2">
        <v>1</v>
      </c>
      <c r="N23" s="2">
        <v>1</v>
      </c>
      <c r="O23" s="2">
        <v>1439</v>
      </c>
      <c r="P23" s="2">
        <v>0</v>
      </c>
      <c r="Q23" t="s">
        <v>79</v>
      </c>
      <c r="R23">
        <f t="shared" si="1"/>
        <v>26300</v>
      </c>
    </row>
    <row r="24" spans="1:18">
      <c r="A24" t="s">
        <v>64</v>
      </c>
      <c r="B24" t="s">
        <v>64</v>
      </c>
      <c r="C24" s="2">
        <v>1</v>
      </c>
      <c r="D24" s="4" t="s">
        <v>102</v>
      </c>
      <c r="E24" s="1" t="s">
        <v>101</v>
      </c>
      <c r="F24" s="2">
        <v>4.8</v>
      </c>
      <c r="G24" s="2">
        <v>4.8</v>
      </c>
      <c r="H24" s="2">
        <v>4.7</v>
      </c>
      <c r="I24" s="2">
        <v>4.8</v>
      </c>
      <c r="J24" s="3">
        <v>92.7</v>
      </c>
      <c r="K24" s="2">
        <v>1514</v>
      </c>
      <c r="L24" s="2">
        <v>3</v>
      </c>
      <c r="M24" s="2">
        <v>3</v>
      </c>
      <c r="N24" s="2">
        <v>3</v>
      </c>
      <c r="O24" s="2">
        <v>1469</v>
      </c>
      <c r="P24" s="2">
        <v>1</v>
      </c>
      <c r="R24">
        <f t="shared" si="1"/>
        <v>92700</v>
      </c>
    </row>
    <row r="25" spans="1:18">
      <c r="A25" t="s">
        <v>64</v>
      </c>
      <c r="B25" t="s">
        <v>64</v>
      </c>
      <c r="C25" s="2">
        <v>1</v>
      </c>
      <c r="D25" s="1" t="s">
        <v>103</v>
      </c>
      <c r="E25" s="1" t="s">
        <v>70</v>
      </c>
      <c r="F25" s="2">
        <v>4.7</v>
      </c>
      <c r="G25" s="2">
        <v>4.5999999999999996</v>
      </c>
      <c r="H25" s="2">
        <v>4.8</v>
      </c>
      <c r="I25" s="2">
        <v>4.7</v>
      </c>
      <c r="J25" s="3">
        <v>121.1</v>
      </c>
      <c r="K25" s="2">
        <v>2308</v>
      </c>
      <c r="L25" s="2">
        <v>13</v>
      </c>
      <c r="M25" s="2">
        <v>5</v>
      </c>
      <c r="N25" s="2">
        <v>7</v>
      </c>
      <c r="O25" s="2">
        <v>1482</v>
      </c>
      <c r="P25" s="2">
        <v>3</v>
      </c>
      <c r="R25">
        <f t="shared" si="1"/>
        <v>121100</v>
      </c>
    </row>
    <row r="26" spans="1:18">
      <c r="A26" t="s">
        <v>64</v>
      </c>
      <c r="B26" t="s">
        <v>64</v>
      </c>
      <c r="C26" s="2">
        <v>1</v>
      </c>
      <c r="D26" s="1" t="s">
        <v>104</v>
      </c>
      <c r="E26" s="1" t="s">
        <v>105</v>
      </c>
      <c r="F26" s="2">
        <v>4.3</v>
      </c>
      <c r="G26" s="2">
        <v>4.3</v>
      </c>
      <c r="H26" s="2">
        <v>4.5</v>
      </c>
      <c r="I26" s="2">
        <v>4.5</v>
      </c>
      <c r="J26" s="3">
        <v>55.6</v>
      </c>
      <c r="K26" s="2">
        <v>911</v>
      </c>
      <c r="L26" s="2">
        <v>3</v>
      </c>
      <c r="M26" s="2">
        <v>2</v>
      </c>
      <c r="N26" s="2">
        <v>2</v>
      </c>
      <c r="O26" s="2">
        <v>976</v>
      </c>
      <c r="P26" s="2">
        <v>0</v>
      </c>
      <c r="R26">
        <f t="shared" si="1"/>
        <v>55600</v>
      </c>
    </row>
    <row r="27" spans="1:18">
      <c r="A27" t="s">
        <v>64</v>
      </c>
      <c r="B27" t="s">
        <v>64</v>
      </c>
      <c r="C27" s="2">
        <v>1</v>
      </c>
      <c r="D27" s="1" t="s">
        <v>106</v>
      </c>
      <c r="E27" s="1" t="s">
        <v>74</v>
      </c>
      <c r="F27" s="2">
        <v>4.3</v>
      </c>
      <c r="G27" s="2">
        <v>4.3</v>
      </c>
      <c r="H27" s="2">
        <v>4.4000000000000004</v>
      </c>
      <c r="I27" s="2">
        <v>4.4000000000000004</v>
      </c>
      <c r="J27" s="3">
        <v>103.2</v>
      </c>
      <c r="K27" s="2">
        <v>2028</v>
      </c>
      <c r="L27" s="2">
        <v>7</v>
      </c>
      <c r="M27" s="2">
        <v>4</v>
      </c>
      <c r="N27" s="2">
        <v>5</v>
      </c>
      <c r="O27" s="2">
        <v>2971</v>
      </c>
      <c r="P27" s="2">
        <v>0</v>
      </c>
      <c r="R27">
        <f t="shared" si="1"/>
        <v>103200</v>
      </c>
    </row>
    <row r="28" spans="1:18">
      <c r="A28" t="s">
        <v>64</v>
      </c>
      <c r="B28" t="s">
        <v>64</v>
      </c>
      <c r="C28" s="2">
        <v>1</v>
      </c>
      <c r="D28" s="1" t="s">
        <v>107</v>
      </c>
      <c r="E28" s="1" t="s">
        <v>70</v>
      </c>
      <c r="F28" s="2">
        <v>4.5999999999999996</v>
      </c>
      <c r="G28" s="2">
        <v>4.4000000000000004</v>
      </c>
      <c r="H28" s="2">
        <v>4.5999999999999996</v>
      </c>
      <c r="I28" s="2">
        <v>4.4000000000000004</v>
      </c>
      <c r="J28" s="8">
        <v>168.9</v>
      </c>
      <c r="K28" s="2">
        <v>5644</v>
      </c>
      <c r="L28" s="2">
        <v>16</v>
      </c>
      <c r="M28" s="2">
        <v>4</v>
      </c>
      <c r="N28" s="2">
        <v>7</v>
      </c>
      <c r="O28" s="2">
        <v>659</v>
      </c>
      <c r="P28" s="2">
        <v>3</v>
      </c>
      <c r="R28">
        <f t="shared" si="1"/>
        <v>168900</v>
      </c>
    </row>
    <row r="29" spans="1:18">
      <c r="A29" t="s">
        <v>64</v>
      </c>
      <c r="B29" t="s">
        <v>64</v>
      </c>
      <c r="C29" s="2">
        <v>1</v>
      </c>
      <c r="D29" s="1" t="s">
        <v>108</v>
      </c>
      <c r="E29" s="1" t="s">
        <v>91</v>
      </c>
      <c r="F29" s="2">
        <v>4.5</v>
      </c>
      <c r="G29" s="2">
        <v>4.4000000000000004</v>
      </c>
      <c r="H29" s="2">
        <v>4.7</v>
      </c>
      <c r="I29" s="2">
        <v>4.5999999999999996</v>
      </c>
      <c r="J29" s="3">
        <v>84.3</v>
      </c>
      <c r="K29" s="2">
        <v>2026</v>
      </c>
      <c r="L29" s="2">
        <v>6</v>
      </c>
      <c r="M29" s="2">
        <v>4</v>
      </c>
      <c r="N29" s="2">
        <v>3</v>
      </c>
      <c r="O29" s="2">
        <v>1172</v>
      </c>
      <c r="P29" s="2">
        <v>0</v>
      </c>
      <c r="Q29" t="s">
        <v>109</v>
      </c>
      <c r="R29">
        <f t="shared" si="1"/>
        <v>84300</v>
      </c>
    </row>
    <row r="30" spans="1:18">
      <c r="A30" t="s">
        <v>64</v>
      </c>
      <c r="B30" t="s">
        <v>64</v>
      </c>
      <c r="C30" s="2">
        <v>1</v>
      </c>
      <c r="D30" s="1" t="s">
        <v>110</v>
      </c>
      <c r="E30" s="1" t="s">
        <v>101</v>
      </c>
      <c r="F30" s="2">
        <v>4.3</v>
      </c>
      <c r="G30" s="2">
        <v>4.3</v>
      </c>
      <c r="H30" s="2">
        <v>4.4000000000000004</v>
      </c>
      <c r="I30" s="2">
        <v>4.5</v>
      </c>
      <c r="J30" s="3">
        <v>32.700000000000003</v>
      </c>
      <c r="K30" s="2">
        <v>888</v>
      </c>
      <c r="L30" s="2">
        <v>7</v>
      </c>
      <c r="M30" s="2">
        <v>4</v>
      </c>
      <c r="N30" s="2">
        <v>6</v>
      </c>
      <c r="O30" s="2">
        <v>1834</v>
      </c>
      <c r="P30" s="2">
        <v>0</v>
      </c>
      <c r="R30">
        <f t="shared" si="1"/>
        <v>32700.000000000004</v>
      </c>
    </row>
    <row r="31" spans="1:18">
      <c r="A31" t="s">
        <v>64</v>
      </c>
      <c r="B31" t="s">
        <v>64</v>
      </c>
      <c r="C31" s="2">
        <v>1</v>
      </c>
      <c r="D31" t="s">
        <v>111</v>
      </c>
      <c r="E31" s="1" t="s">
        <v>112</v>
      </c>
      <c r="F31" s="2">
        <v>4.4000000000000004</v>
      </c>
      <c r="G31" s="2">
        <v>4.5</v>
      </c>
      <c r="H31" s="2">
        <v>4.4000000000000004</v>
      </c>
      <c r="I31" s="2">
        <v>4.4000000000000004</v>
      </c>
      <c r="J31" s="3">
        <v>238.6</v>
      </c>
      <c r="K31" s="2">
        <v>6092</v>
      </c>
      <c r="L31" s="2">
        <v>5</v>
      </c>
      <c r="M31" s="2">
        <v>4</v>
      </c>
      <c r="N31" s="2">
        <v>3</v>
      </c>
      <c r="O31" s="2">
        <v>647</v>
      </c>
      <c r="P31" s="2">
        <v>0</v>
      </c>
      <c r="R31">
        <f t="shared" si="1"/>
        <v>238600</v>
      </c>
    </row>
    <row r="32" spans="1:18">
      <c r="A32" t="s">
        <v>64</v>
      </c>
      <c r="B32" t="s">
        <v>64</v>
      </c>
      <c r="C32" s="2">
        <v>1</v>
      </c>
      <c r="D32" t="s">
        <v>113</v>
      </c>
      <c r="E32" s="1" t="s">
        <v>74</v>
      </c>
      <c r="F32" s="2">
        <v>4.4000000000000004</v>
      </c>
      <c r="G32" s="2">
        <v>4.4000000000000004</v>
      </c>
      <c r="H32" s="2">
        <v>4.8</v>
      </c>
      <c r="I32" s="2">
        <v>4.5</v>
      </c>
      <c r="J32" s="3">
        <v>95.1</v>
      </c>
      <c r="K32" s="2">
        <v>3668</v>
      </c>
      <c r="L32" s="2">
        <v>7</v>
      </c>
      <c r="M32" s="2">
        <v>4</v>
      </c>
      <c r="N32" s="2">
        <v>5</v>
      </c>
      <c r="O32" s="2">
        <v>1233</v>
      </c>
      <c r="P32" s="2">
        <v>0</v>
      </c>
      <c r="R32">
        <f t="shared" si="1"/>
        <v>95100</v>
      </c>
    </row>
    <row r="33" spans="1:18">
      <c r="A33" t="s">
        <v>64</v>
      </c>
      <c r="B33" t="s">
        <v>64</v>
      </c>
      <c r="C33" s="2">
        <v>1</v>
      </c>
      <c r="D33" t="s">
        <v>114</v>
      </c>
      <c r="E33" s="1" t="s">
        <v>78</v>
      </c>
      <c r="F33" s="2">
        <v>4.4000000000000004</v>
      </c>
      <c r="G33" s="2">
        <v>4.5</v>
      </c>
      <c r="H33" s="2">
        <v>4.5999999999999996</v>
      </c>
      <c r="I33" s="2">
        <v>4.5</v>
      </c>
      <c r="J33" s="3">
        <v>236.1</v>
      </c>
      <c r="K33" s="2">
        <v>7447</v>
      </c>
      <c r="L33" s="2">
        <v>6</v>
      </c>
      <c r="M33" s="2">
        <v>4</v>
      </c>
      <c r="N33" s="2">
        <v>5</v>
      </c>
      <c r="O33" s="2">
        <v>1139</v>
      </c>
      <c r="P33" s="2">
        <v>0</v>
      </c>
      <c r="R33">
        <f t="shared" si="1"/>
        <v>236100</v>
      </c>
    </row>
    <row r="34" spans="1:18">
      <c r="A34" t="s">
        <v>64</v>
      </c>
      <c r="B34" t="s">
        <v>64</v>
      </c>
      <c r="C34" s="2">
        <v>1</v>
      </c>
      <c r="D34" t="s">
        <v>115</v>
      </c>
      <c r="E34" s="1" t="s">
        <v>70</v>
      </c>
      <c r="F34" s="2">
        <v>4.5999999999999996</v>
      </c>
      <c r="G34" s="2">
        <v>4.5999999999999996</v>
      </c>
      <c r="H34" s="2">
        <v>4.5999999999999996</v>
      </c>
      <c r="I34" s="2">
        <v>4.5999999999999996</v>
      </c>
      <c r="J34" s="3">
        <v>216.6</v>
      </c>
      <c r="K34" s="2">
        <v>12712</v>
      </c>
      <c r="L34" s="2">
        <v>6</v>
      </c>
      <c r="M34" s="2">
        <v>3</v>
      </c>
      <c r="N34" s="2">
        <v>4</v>
      </c>
      <c r="O34" s="2">
        <v>297</v>
      </c>
      <c r="P34" s="2">
        <v>0</v>
      </c>
      <c r="Q34" t="s">
        <v>79</v>
      </c>
      <c r="R34">
        <f t="shared" si="1"/>
        <v>216600</v>
      </c>
    </row>
    <row r="35" spans="1:18">
      <c r="A35" t="s">
        <v>64</v>
      </c>
      <c r="B35" t="s">
        <v>64</v>
      </c>
      <c r="C35" s="2">
        <v>1</v>
      </c>
      <c r="D35" t="s">
        <v>116</v>
      </c>
      <c r="E35" s="1" t="s">
        <v>101</v>
      </c>
      <c r="F35" s="2">
        <v>4.8</v>
      </c>
      <c r="G35" s="2">
        <v>4.8</v>
      </c>
      <c r="H35" s="2">
        <v>4.8</v>
      </c>
      <c r="I35" s="2">
        <v>4.8</v>
      </c>
      <c r="J35" s="3">
        <v>26.6</v>
      </c>
      <c r="K35" s="2">
        <v>766</v>
      </c>
      <c r="L35" s="2">
        <v>2</v>
      </c>
      <c r="M35" s="2">
        <v>1</v>
      </c>
      <c r="N35" s="2">
        <v>1</v>
      </c>
      <c r="O35" s="2">
        <v>837</v>
      </c>
      <c r="P35" s="2">
        <v>0</v>
      </c>
      <c r="R35">
        <f t="shared" si="1"/>
        <v>26600</v>
      </c>
    </row>
    <row r="36" spans="1:18">
      <c r="A36" t="s">
        <v>64</v>
      </c>
      <c r="B36" t="s">
        <v>64</v>
      </c>
      <c r="C36" s="2">
        <v>1</v>
      </c>
      <c r="D36" t="s">
        <v>117</v>
      </c>
      <c r="E36" s="6" t="s">
        <v>91</v>
      </c>
      <c r="F36" s="2">
        <v>4.7</v>
      </c>
      <c r="G36" s="2">
        <v>4.7</v>
      </c>
      <c r="H36" s="2">
        <v>4.8</v>
      </c>
      <c r="I36" s="2">
        <v>4.8</v>
      </c>
      <c r="J36" s="3">
        <v>57</v>
      </c>
      <c r="K36" s="2">
        <v>3099</v>
      </c>
      <c r="L36" s="2">
        <v>5</v>
      </c>
      <c r="M36" s="2">
        <v>4</v>
      </c>
      <c r="N36" s="2">
        <v>4</v>
      </c>
      <c r="O36" s="2">
        <v>958</v>
      </c>
      <c r="P36" s="2">
        <v>2</v>
      </c>
      <c r="R36">
        <f t="shared" si="1"/>
        <v>57000</v>
      </c>
    </row>
    <row r="37" spans="1:18">
      <c r="A37" t="s">
        <v>64</v>
      </c>
      <c r="B37" t="s">
        <v>64</v>
      </c>
      <c r="C37" s="2">
        <v>1</v>
      </c>
      <c r="D37" t="s">
        <v>118</v>
      </c>
      <c r="E37" s="6" t="s">
        <v>119</v>
      </c>
      <c r="F37" s="2">
        <v>4.3</v>
      </c>
      <c r="G37" s="2">
        <v>4.3</v>
      </c>
      <c r="H37" s="2">
        <v>4.4000000000000004</v>
      </c>
      <c r="I37" s="2">
        <v>4.3</v>
      </c>
      <c r="J37" s="3">
        <v>86</v>
      </c>
      <c r="K37" s="2">
        <v>15033</v>
      </c>
      <c r="L37" s="2">
        <v>9</v>
      </c>
      <c r="M37" s="2">
        <v>1</v>
      </c>
      <c r="N37" s="2">
        <v>4</v>
      </c>
      <c r="O37" s="2">
        <v>484</v>
      </c>
      <c r="P37" s="2">
        <v>2</v>
      </c>
      <c r="R37">
        <f t="shared" si="1"/>
        <v>86000</v>
      </c>
    </row>
    <row r="38" spans="1:18">
      <c r="A38" t="s">
        <v>64</v>
      </c>
      <c r="B38" t="s">
        <v>64</v>
      </c>
      <c r="C38" s="2">
        <v>1</v>
      </c>
      <c r="D38" t="s">
        <v>120</v>
      </c>
      <c r="E38" s="6" t="s">
        <v>91</v>
      </c>
      <c r="F38" s="2">
        <v>4.4000000000000004</v>
      </c>
      <c r="G38" s="2">
        <v>4.4000000000000004</v>
      </c>
      <c r="H38" s="2">
        <v>4.5999999999999996</v>
      </c>
      <c r="I38" s="2">
        <v>4.5</v>
      </c>
      <c r="J38" s="3">
        <v>23.9</v>
      </c>
      <c r="K38" s="2">
        <v>609</v>
      </c>
      <c r="L38" s="2">
        <v>3</v>
      </c>
      <c r="M38" s="2">
        <v>0</v>
      </c>
      <c r="N38" s="2">
        <v>1</v>
      </c>
      <c r="O38" s="2">
        <v>558</v>
      </c>
      <c r="P38" s="2">
        <v>0</v>
      </c>
      <c r="R38">
        <f t="shared" si="1"/>
        <v>23900</v>
      </c>
    </row>
    <row r="39" spans="1:18">
      <c r="A39" t="s">
        <v>64</v>
      </c>
      <c r="B39" t="s">
        <v>64</v>
      </c>
      <c r="C39" s="2">
        <v>1</v>
      </c>
      <c r="D39" t="s">
        <v>121</v>
      </c>
      <c r="E39" s="1" t="s">
        <v>122</v>
      </c>
      <c r="F39" s="2">
        <v>4.0999999999999996</v>
      </c>
      <c r="G39" s="2">
        <v>4.0999999999999996</v>
      </c>
      <c r="H39" s="2">
        <v>4.0999999999999996</v>
      </c>
      <c r="I39" s="2">
        <v>4.2</v>
      </c>
      <c r="J39" s="3">
        <v>28.9</v>
      </c>
      <c r="K39" s="2">
        <v>374</v>
      </c>
      <c r="L39" s="2">
        <v>2</v>
      </c>
      <c r="M39" s="2">
        <v>1</v>
      </c>
      <c r="N39" s="2">
        <v>1</v>
      </c>
      <c r="O39" s="2">
        <v>2326</v>
      </c>
      <c r="P39" s="2">
        <v>0</v>
      </c>
      <c r="R39">
        <f t="shared" si="1"/>
        <v>28900</v>
      </c>
    </row>
    <row r="40" spans="1:18">
      <c r="A40" t="s">
        <v>64</v>
      </c>
      <c r="B40" t="s">
        <v>64</v>
      </c>
      <c r="C40" s="2">
        <v>1</v>
      </c>
      <c r="D40" t="s">
        <v>123</v>
      </c>
      <c r="E40" s="1" t="s">
        <v>70</v>
      </c>
      <c r="F40" s="2">
        <v>4.9000000000000004</v>
      </c>
      <c r="G40" s="2">
        <v>4.9000000000000004</v>
      </c>
      <c r="H40" s="2">
        <v>4.8</v>
      </c>
      <c r="I40" s="2">
        <v>4.9000000000000004</v>
      </c>
      <c r="J40" s="3">
        <v>120.4</v>
      </c>
      <c r="K40" s="2">
        <v>6122</v>
      </c>
      <c r="L40" s="2">
        <v>5</v>
      </c>
      <c r="M40" s="2">
        <v>3</v>
      </c>
      <c r="N40" s="2">
        <v>1</v>
      </c>
      <c r="O40" s="2">
        <v>256</v>
      </c>
      <c r="P40" s="2">
        <v>0</v>
      </c>
      <c r="R40">
        <f t="shared" si="1"/>
        <v>120400</v>
      </c>
    </row>
    <row r="41" spans="1:18">
      <c r="A41" t="s">
        <v>64</v>
      </c>
      <c r="B41" t="s">
        <v>64</v>
      </c>
      <c r="C41" s="2">
        <v>1</v>
      </c>
      <c r="D41" t="s">
        <v>124</v>
      </c>
      <c r="E41" s="1" t="s">
        <v>122</v>
      </c>
      <c r="F41" s="2">
        <v>4.0999999999999996</v>
      </c>
      <c r="G41" s="2">
        <v>4.0999999999999996</v>
      </c>
      <c r="H41" s="2">
        <v>4.4000000000000004</v>
      </c>
      <c r="I41" s="2">
        <v>4.5</v>
      </c>
      <c r="J41" s="3">
        <v>46.7</v>
      </c>
      <c r="K41" s="2">
        <v>576</v>
      </c>
      <c r="L41" s="2">
        <v>3</v>
      </c>
      <c r="M41" s="2">
        <v>3</v>
      </c>
      <c r="N41" s="2">
        <v>2</v>
      </c>
      <c r="O41" s="2">
        <v>2801</v>
      </c>
      <c r="P41" s="2">
        <v>0</v>
      </c>
      <c r="R41">
        <f t="shared" si="1"/>
        <v>46700</v>
      </c>
    </row>
    <row r="42" spans="1:18">
      <c r="A42" t="s">
        <v>64</v>
      </c>
      <c r="B42" t="s">
        <v>64</v>
      </c>
      <c r="C42" s="2">
        <v>1</v>
      </c>
      <c r="D42" t="s">
        <v>125</v>
      </c>
      <c r="E42" s="6" t="s">
        <v>91</v>
      </c>
      <c r="F42" s="2">
        <v>4.7</v>
      </c>
      <c r="G42" s="2">
        <v>4.7</v>
      </c>
      <c r="H42" s="2">
        <v>4.8</v>
      </c>
      <c r="I42" s="2">
        <v>4.7</v>
      </c>
      <c r="J42" s="3">
        <v>76.3</v>
      </c>
      <c r="K42" s="2">
        <v>4128</v>
      </c>
      <c r="L42" s="2">
        <v>6</v>
      </c>
      <c r="M42" s="2">
        <v>5</v>
      </c>
      <c r="N42" s="2">
        <v>6</v>
      </c>
      <c r="O42" s="2">
        <v>645</v>
      </c>
      <c r="P42" s="2">
        <v>3</v>
      </c>
      <c r="R42">
        <f t="shared" si="1"/>
        <v>76300</v>
      </c>
    </row>
    <row r="43" spans="1:18">
      <c r="A43" t="s">
        <v>64</v>
      </c>
      <c r="B43" t="s">
        <v>64</v>
      </c>
      <c r="C43" s="2">
        <v>1</v>
      </c>
      <c r="D43" t="s">
        <v>126</v>
      </c>
      <c r="E43" s="1" t="s">
        <v>66</v>
      </c>
      <c r="F43" s="2">
        <v>4.5999999999999996</v>
      </c>
      <c r="G43" s="2">
        <v>4.5999999999999996</v>
      </c>
      <c r="H43" s="2">
        <v>4.7</v>
      </c>
      <c r="I43" s="2">
        <v>4.5999999999999996</v>
      </c>
      <c r="J43" s="3">
        <v>49.9</v>
      </c>
      <c r="K43" s="2">
        <v>1342</v>
      </c>
      <c r="L43" s="2">
        <v>3</v>
      </c>
      <c r="M43" s="2">
        <v>3</v>
      </c>
      <c r="N43" s="2">
        <v>2</v>
      </c>
      <c r="O43" s="2">
        <v>539</v>
      </c>
      <c r="P43" s="2">
        <v>0</v>
      </c>
      <c r="R43">
        <f t="shared" si="1"/>
        <v>49900</v>
      </c>
    </row>
    <row r="44" spans="1:18">
      <c r="A44" t="s">
        <v>64</v>
      </c>
      <c r="B44" t="s">
        <v>64</v>
      </c>
      <c r="C44" s="2">
        <v>1</v>
      </c>
      <c r="D44" t="s">
        <v>127</v>
      </c>
      <c r="E44" s="1" t="s">
        <v>74</v>
      </c>
      <c r="F44" s="2">
        <v>4.4000000000000004</v>
      </c>
      <c r="G44" s="2">
        <v>4.4000000000000004</v>
      </c>
      <c r="H44" s="2">
        <v>4.4000000000000004</v>
      </c>
      <c r="I44" s="2">
        <v>4.4000000000000004</v>
      </c>
      <c r="J44" s="3">
        <v>374.5</v>
      </c>
      <c r="K44" s="2">
        <v>11471</v>
      </c>
      <c r="L44" s="2">
        <v>10</v>
      </c>
      <c r="M44" s="2">
        <v>5</v>
      </c>
      <c r="N44" s="2">
        <v>3</v>
      </c>
      <c r="O44" s="2">
        <v>1240</v>
      </c>
      <c r="P44" s="2">
        <v>0</v>
      </c>
      <c r="R44">
        <f t="shared" si="1"/>
        <v>374500</v>
      </c>
    </row>
    <row r="45" spans="1:18">
      <c r="A45" t="s">
        <v>64</v>
      </c>
      <c r="B45" t="s">
        <v>64</v>
      </c>
      <c r="C45" s="2">
        <v>1</v>
      </c>
      <c r="D45" t="s">
        <v>128</v>
      </c>
      <c r="E45" s="1" t="s">
        <v>76</v>
      </c>
      <c r="F45" s="2">
        <v>4.5</v>
      </c>
      <c r="G45" s="2">
        <v>4.5</v>
      </c>
      <c r="H45" s="2">
        <v>4.5999999999999996</v>
      </c>
      <c r="I45" s="2">
        <v>4.5</v>
      </c>
      <c r="J45" s="3">
        <v>193.5</v>
      </c>
      <c r="K45" s="2">
        <v>5581</v>
      </c>
      <c r="L45" s="2">
        <v>5</v>
      </c>
      <c r="M45" s="2">
        <v>4</v>
      </c>
      <c r="N45" s="2">
        <v>5</v>
      </c>
      <c r="O45" s="2">
        <v>480</v>
      </c>
      <c r="P45" s="2">
        <v>0</v>
      </c>
      <c r="R45">
        <f t="shared" si="1"/>
        <v>193500</v>
      </c>
    </row>
    <row r="46" spans="1:18">
      <c r="A46" t="s">
        <v>64</v>
      </c>
      <c r="B46" t="s">
        <v>64</v>
      </c>
      <c r="C46" s="2">
        <v>1</v>
      </c>
      <c r="D46" t="s">
        <v>129</v>
      </c>
      <c r="E46" s="1" t="s">
        <v>98</v>
      </c>
      <c r="F46" s="2">
        <v>4.8</v>
      </c>
      <c r="G46" s="2">
        <v>4.8</v>
      </c>
      <c r="H46" s="2">
        <v>4.8</v>
      </c>
      <c r="I46" s="2">
        <v>4.7</v>
      </c>
      <c r="J46" s="3">
        <v>39.700000000000003</v>
      </c>
      <c r="K46" s="2">
        <v>3441</v>
      </c>
      <c r="L46" s="2">
        <v>2</v>
      </c>
      <c r="M46" s="2">
        <v>2</v>
      </c>
      <c r="N46" s="2">
        <v>1</v>
      </c>
      <c r="O46" s="2">
        <v>313</v>
      </c>
      <c r="P46" s="2">
        <v>5</v>
      </c>
      <c r="R46">
        <f t="shared" si="1"/>
        <v>39700</v>
      </c>
    </row>
    <row r="47" spans="1:18">
      <c r="A47" t="s">
        <v>64</v>
      </c>
      <c r="B47" t="s">
        <v>64</v>
      </c>
      <c r="C47" s="2">
        <v>1</v>
      </c>
      <c r="D47" t="s">
        <v>130</v>
      </c>
      <c r="E47" s="1" t="s">
        <v>86</v>
      </c>
      <c r="F47" s="2">
        <v>4.8</v>
      </c>
      <c r="G47" s="2">
        <v>4.8</v>
      </c>
      <c r="H47" s="2">
        <v>4.8</v>
      </c>
      <c r="I47" s="2">
        <v>4.8</v>
      </c>
      <c r="J47" s="3">
        <v>59.8</v>
      </c>
      <c r="K47" s="2">
        <v>2958</v>
      </c>
      <c r="L47" s="2">
        <v>3</v>
      </c>
      <c r="M47" s="2">
        <v>2</v>
      </c>
      <c r="N47" s="2">
        <v>2</v>
      </c>
      <c r="O47" s="2">
        <v>710</v>
      </c>
      <c r="P47" s="2">
        <v>0</v>
      </c>
      <c r="R47">
        <f t="shared" si="1"/>
        <v>59800</v>
      </c>
    </row>
    <row r="48" spans="1:18">
      <c r="A48" t="s">
        <v>64</v>
      </c>
      <c r="B48" t="s">
        <v>64</v>
      </c>
      <c r="C48" s="2">
        <v>1</v>
      </c>
      <c r="D48" t="s">
        <v>131</v>
      </c>
      <c r="E48" s="1" t="s">
        <v>132</v>
      </c>
      <c r="F48" s="2">
        <v>4.8</v>
      </c>
      <c r="G48" s="2">
        <v>4.7</v>
      </c>
      <c r="H48" s="2">
        <v>4.8</v>
      </c>
      <c r="I48" s="2">
        <v>4.8</v>
      </c>
      <c r="J48" s="3">
        <v>142.80000000000001</v>
      </c>
      <c r="K48" s="2">
        <v>7586</v>
      </c>
      <c r="L48" s="2">
        <v>11</v>
      </c>
      <c r="M48" s="2">
        <v>5</v>
      </c>
      <c r="N48" s="2">
        <v>7</v>
      </c>
      <c r="O48" s="2">
        <v>1194</v>
      </c>
      <c r="P48" s="2">
        <v>0</v>
      </c>
      <c r="R48">
        <f t="shared" si="1"/>
        <v>142800</v>
      </c>
    </row>
    <row r="49" spans="1:18">
      <c r="A49" t="s">
        <v>64</v>
      </c>
      <c r="B49" t="s">
        <v>64</v>
      </c>
      <c r="C49" s="2">
        <v>1</v>
      </c>
      <c r="D49" t="s">
        <v>133</v>
      </c>
      <c r="E49" s="1" t="s">
        <v>68</v>
      </c>
      <c r="F49" s="2">
        <v>4.8</v>
      </c>
      <c r="G49" s="2">
        <v>4.7</v>
      </c>
      <c r="H49" s="2">
        <v>4.8</v>
      </c>
      <c r="I49" s="2">
        <v>4.8</v>
      </c>
      <c r="J49" s="3">
        <v>30.5</v>
      </c>
      <c r="K49" s="2">
        <v>1260</v>
      </c>
      <c r="L49" s="2">
        <v>3</v>
      </c>
      <c r="M49" s="2">
        <v>3</v>
      </c>
      <c r="N49" s="2">
        <v>2</v>
      </c>
      <c r="O49" s="2">
        <v>603</v>
      </c>
      <c r="P49" s="2">
        <v>0</v>
      </c>
      <c r="R49">
        <f t="shared" si="1"/>
        <v>30500</v>
      </c>
    </row>
    <row r="50" spans="1:18">
      <c r="A50" t="s">
        <v>64</v>
      </c>
      <c r="B50" t="s">
        <v>64</v>
      </c>
      <c r="C50" s="2">
        <v>1</v>
      </c>
      <c r="D50" t="s">
        <v>134</v>
      </c>
      <c r="E50" s="1" t="s">
        <v>70</v>
      </c>
      <c r="F50" s="2">
        <v>4.8</v>
      </c>
      <c r="G50" s="2">
        <v>4.8</v>
      </c>
      <c r="H50" s="2">
        <v>4.8</v>
      </c>
      <c r="I50" s="2">
        <v>4.8</v>
      </c>
      <c r="J50" s="3">
        <v>41.8</v>
      </c>
      <c r="K50" s="2">
        <v>1437</v>
      </c>
      <c r="L50" s="2">
        <v>2</v>
      </c>
      <c r="M50" s="2">
        <v>2</v>
      </c>
      <c r="N50" s="2">
        <v>2</v>
      </c>
      <c r="O50" s="2">
        <v>1437</v>
      </c>
      <c r="P50" s="2">
        <v>1</v>
      </c>
      <c r="R50">
        <f t="shared" si="1"/>
        <v>41800</v>
      </c>
    </row>
    <row r="51" spans="1:18">
      <c r="A51" t="s">
        <v>64</v>
      </c>
      <c r="B51" t="s">
        <v>64</v>
      </c>
      <c r="C51" s="2">
        <v>1</v>
      </c>
      <c r="D51" t="s">
        <v>135</v>
      </c>
      <c r="E51" s="1" t="s">
        <v>84</v>
      </c>
      <c r="F51" s="2">
        <v>4.4000000000000004</v>
      </c>
      <c r="G51" s="2">
        <v>4.2</v>
      </c>
      <c r="H51" s="2">
        <v>4.8</v>
      </c>
      <c r="I51" s="2">
        <v>4.7</v>
      </c>
      <c r="J51" s="3">
        <v>82.3</v>
      </c>
      <c r="K51" s="2">
        <v>2339</v>
      </c>
      <c r="L51" s="2">
        <v>5</v>
      </c>
      <c r="M51" s="2">
        <v>4</v>
      </c>
      <c r="N51" s="2">
        <v>3</v>
      </c>
      <c r="O51" s="2">
        <v>1681</v>
      </c>
      <c r="P51" s="2">
        <v>0</v>
      </c>
      <c r="R51">
        <f t="shared" si="1"/>
        <v>82300</v>
      </c>
    </row>
    <row r="52" spans="1:18">
      <c r="A52" t="s">
        <v>64</v>
      </c>
      <c r="B52" t="s">
        <v>64</v>
      </c>
      <c r="C52" s="2">
        <v>1</v>
      </c>
      <c r="D52" t="s">
        <v>136</v>
      </c>
      <c r="E52" s="1" t="s">
        <v>91</v>
      </c>
      <c r="F52" s="2">
        <v>4.5999999999999996</v>
      </c>
      <c r="G52" s="2">
        <v>4.5</v>
      </c>
      <c r="H52" s="2">
        <v>4.8</v>
      </c>
      <c r="I52" s="2">
        <v>4.8</v>
      </c>
      <c r="J52" s="3">
        <v>66.099999999999994</v>
      </c>
      <c r="K52" s="2">
        <v>2208</v>
      </c>
      <c r="L52" s="2">
        <v>5</v>
      </c>
      <c r="M52" s="2">
        <v>4</v>
      </c>
      <c r="N52" s="2">
        <v>4</v>
      </c>
      <c r="O52" s="2">
        <v>2208</v>
      </c>
      <c r="P52" s="2">
        <v>0</v>
      </c>
      <c r="Q52" t="s">
        <v>137</v>
      </c>
      <c r="R52">
        <f t="shared" si="1"/>
        <v>66100</v>
      </c>
    </row>
    <row r="53" spans="1:18">
      <c r="A53" t="s">
        <v>64</v>
      </c>
      <c r="B53" t="s">
        <v>64</v>
      </c>
      <c r="C53" s="2">
        <v>1</v>
      </c>
      <c r="D53" t="s">
        <v>138</v>
      </c>
      <c r="E53" s="1" t="s">
        <v>101</v>
      </c>
      <c r="F53" s="2">
        <v>4.4000000000000004</v>
      </c>
      <c r="G53" s="2">
        <v>4.4000000000000004</v>
      </c>
      <c r="H53" s="2">
        <v>4.4000000000000004</v>
      </c>
      <c r="I53" s="2">
        <v>4.5999999999999996</v>
      </c>
      <c r="J53" s="3">
        <v>19.399999999999999</v>
      </c>
      <c r="K53" s="2">
        <v>632</v>
      </c>
      <c r="L53" s="2">
        <v>10</v>
      </c>
      <c r="M53" s="2">
        <v>3</v>
      </c>
      <c r="N53" s="2">
        <v>4</v>
      </c>
      <c r="O53" s="2">
        <v>2400</v>
      </c>
      <c r="P53" s="2">
        <v>0</v>
      </c>
      <c r="Q53" t="s">
        <v>109</v>
      </c>
      <c r="R53">
        <f t="shared" si="1"/>
        <v>19400</v>
      </c>
    </row>
    <row r="54" spans="1:18">
      <c r="A54" t="s">
        <v>64</v>
      </c>
      <c r="B54" t="s">
        <v>64</v>
      </c>
      <c r="C54" s="2">
        <v>1</v>
      </c>
      <c r="D54" t="s">
        <v>139</v>
      </c>
      <c r="E54" s="1" t="s">
        <v>140</v>
      </c>
      <c r="F54" s="2">
        <v>4.5</v>
      </c>
      <c r="G54" s="2">
        <v>4.4000000000000004</v>
      </c>
      <c r="H54" s="2">
        <v>4.5</v>
      </c>
      <c r="I54" s="2">
        <v>4.4000000000000004</v>
      </c>
      <c r="J54" s="3">
        <v>255.4</v>
      </c>
      <c r="K54" s="2">
        <v>14397</v>
      </c>
      <c r="L54" s="2">
        <v>10</v>
      </c>
      <c r="M54" s="2">
        <v>5</v>
      </c>
      <c r="N54" s="2">
        <v>7</v>
      </c>
      <c r="O54" s="2">
        <v>971</v>
      </c>
      <c r="P54" s="2">
        <v>0</v>
      </c>
      <c r="R54">
        <f t="shared" si="1"/>
        <v>255400</v>
      </c>
    </row>
    <row r="55" spans="1:18">
      <c r="A55" t="s">
        <v>64</v>
      </c>
      <c r="B55" t="s">
        <v>64</v>
      </c>
      <c r="C55" s="2">
        <v>1</v>
      </c>
      <c r="D55" t="s">
        <v>141</v>
      </c>
      <c r="E55" s="1" t="s">
        <v>91</v>
      </c>
      <c r="F55" s="2">
        <v>4.5999999999999996</v>
      </c>
      <c r="G55" s="2">
        <v>4.5</v>
      </c>
      <c r="H55" s="2">
        <v>4.5999999999999996</v>
      </c>
      <c r="I55" s="2">
        <v>4.5999999999999996</v>
      </c>
      <c r="J55" s="3">
        <v>81.7</v>
      </c>
      <c r="K55" s="2">
        <v>3145</v>
      </c>
      <c r="L55" s="2">
        <v>8</v>
      </c>
      <c r="M55" s="2">
        <v>5</v>
      </c>
      <c r="N55" s="2">
        <v>7</v>
      </c>
      <c r="O55" s="2">
        <v>337</v>
      </c>
      <c r="P55" s="2">
        <v>0</v>
      </c>
      <c r="Q55" s="2"/>
      <c r="R55">
        <f t="shared" si="1"/>
        <v>81700</v>
      </c>
    </row>
    <row r="56" spans="1:18">
      <c r="A56" t="s">
        <v>64</v>
      </c>
      <c r="B56" t="s">
        <v>64</v>
      </c>
      <c r="C56" s="2">
        <v>1</v>
      </c>
      <c r="D56" t="s">
        <v>142</v>
      </c>
      <c r="E56" s="1" t="s">
        <v>74</v>
      </c>
      <c r="F56" s="2">
        <v>4.4000000000000004</v>
      </c>
      <c r="G56" s="2">
        <v>4</v>
      </c>
      <c r="H56" s="2">
        <v>4.5</v>
      </c>
      <c r="I56" s="2">
        <v>4.4000000000000004</v>
      </c>
      <c r="J56" s="3">
        <v>211.1</v>
      </c>
      <c r="K56" s="2">
        <v>11609</v>
      </c>
      <c r="L56" s="2">
        <v>19</v>
      </c>
      <c r="M56" s="2">
        <v>5</v>
      </c>
      <c r="N56" s="2">
        <v>5</v>
      </c>
      <c r="O56" s="2">
        <v>888</v>
      </c>
      <c r="P56" s="2">
        <v>0</v>
      </c>
      <c r="Q56" s="2"/>
      <c r="R56">
        <f t="shared" si="1"/>
        <v>211100</v>
      </c>
    </row>
    <row r="57" spans="1:18">
      <c r="A57" t="s">
        <v>64</v>
      </c>
      <c r="B57" t="s">
        <v>64</v>
      </c>
      <c r="C57" s="2">
        <v>1</v>
      </c>
      <c r="D57" t="s">
        <v>143</v>
      </c>
      <c r="E57" t="s">
        <v>74</v>
      </c>
      <c r="F57" s="2">
        <v>4</v>
      </c>
      <c r="G57" s="2">
        <v>3.9</v>
      </c>
      <c r="H57" s="2">
        <v>4.3</v>
      </c>
      <c r="I57" s="2">
        <v>4.0999999999999996</v>
      </c>
      <c r="J57" s="3">
        <v>199.7</v>
      </c>
      <c r="K57" s="2">
        <v>7326</v>
      </c>
      <c r="L57" s="2">
        <v>14</v>
      </c>
      <c r="M57" s="2">
        <v>4</v>
      </c>
      <c r="N57" s="2">
        <v>7</v>
      </c>
      <c r="O57" s="2">
        <v>923</v>
      </c>
      <c r="P57" s="2">
        <v>2</v>
      </c>
      <c r="Q57" s="2"/>
      <c r="R57">
        <f t="shared" si="1"/>
        <v>199700</v>
      </c>
    </row>
    <row r="58" spans="1:18">
      <c r="A58" t="s">
        <v>64</v>
      </c>
      <c r="B58" t="s">
        <v>64</v>
      </c>
      <c r="C58" s="2">
        <v>1</v>
      </c>
      <c r="D58" t="s">
        <v>144</v>
      </c>
      <c r="E58" t="s">
        <v>98</v>
      </c>
      <c r="F58" s="2">
        <v>4.8</v>
      </c>
      <c r="G58" s="2">
        <v>4.7</v>
      </c>
      <c r="H58" s="2">
        <v>4.7</v>
      </c>
      <c r="I58" s="2">
        <v>4.8</v>
      </c>
      <c r="J58" s="3">
        <v>166.23</v>
      </c>
      <c r="K58" s="2">
        <v>6167</v>
      </c>
      <c r="L58" s="2">
        <v>6</v>
      </c>
      <c r="M58" s="2">
        <v>5</v>
      </c>
      <c r="N58" s="2">
        <v>4</v>
      </c>
      <c r="O58" s="2">
        <v>499</v>
      </c>
      <c r="P58" s="2">
        <v>2</v>
      </c>
      <c r="Q58" s="2"/>
      <c r="R58">
        <f t="shared" si="1"/>
        <v>166230</v>
      </c>
    </row>
    <row r="59" spans="1:18">
      <c r="A59" t="s">
        <v>64</v>
      </c>
      <c r="B59" t="s">
        <v>64</v>
      </c>
      <c r="C59" s="2">
        <v>1</v>
      </c>
      <c r="D59" t="s">
        <v>145</v>
      </c>
      <c r="E59" t="s">
        <v>70</v>
      </c>
      <c r="F59" s="2">
        <v>4.8</v>
      </c>
      <c r="G59" s="2">
        <v>4.8</v>
      </c>
      <c r="H59" s="2">
        <v>4.8</v>
      </c>
      <c r="I59" s="2">
        <v>4.5999999999999996</v>
      </c>
      <c r="J59" s="3">
        <v>140.19999999999999</v>
      </c>
      <c r="K59" s="2">
        <v>5288</v>
      </c>
      <c r="L59" s="2">
        <v>6</v>
      </c>
      <c r="M59" s="2">
        <v>5</v>
      </c>
      <c r="N59" s="2">
        <v>3</v>
      </c>
      <c r="O59" s="2">
        <v>580</v>
      </c>
      <c r="P59" s="2">
        <v>2</v>
      </c>
      <c r="Q59" s="2"/>
      <c r="R59">
        <f t="shared" si="1"/>
        <v>140200</v>
      </c>
    </row>
    <row r="60" spans="1:18">
      <c r="A60" t="s">
        <v>64</v>
      </c>
      <c r="B60" t="s">
        <v>64</v>
      </c>
      <c r="C60" s="2">
        <v>1</v>
      </c>
      <c r="D60" t="s">
        <v>146</v>
      </c>
      <c r="E60" s="5" t="s">
        <v>101</v>
      </c>
      <c r="F60" s="2">
        <v>4.5</v>
      </c>
      <c r="G60" s="2">
        <v>4.5</v>
      </c>
      <c r="H60" s="2">
        <v>4.5</v>
      </c>
      <c r="I60" s="2">
        <v>4.5999999999999996</v>
      </c>
      <c r="J60" s="8">
        <v>83.7</v>
      </c>
      <c r="K60" s="2">
        <v>1705</v>
      </c>
      <c r="L60" s="2">
        <v>9</v>
      </c>
      <c r="M60" s="2">
        <v>3</v>
      </c>
      <c r="N60" s="2">
        <v>2</v>
      </c>
      <c r="O60" s="2">
        <v>2145</v>
      </c>
      <c r="P60" s="2">
        <v>0</v>
      </c>
      <c r="Q60" s="2" t="s">
        <v>99</v>
      </c>
      <c r="R60">
        <f t="shared" si="1"/>
        <v>83700</v>
      </c>
    </row>
    <row r="61" spans="1:18">
      <c r="A61" t="s">
        <v>64</v>
      </c>
      <c r="B61" t="s">
        <v>64</v>
      </c>
      <c r="C61" s="2">
        <v>1</v>
      </c>
      <c r="D61" t="s">
        <v>147</v>
      </c>
      <c r="E61" s="5" t="s">
        <v>101</v>
      </c>
      <c r="F61" s="2">
        <v>4.5</v>
      </c>
      <c r="G61" s="2">
        <v>4.4000000000000004</v>
      </c>
      <c r="H61" s="2">
        <v>4.5999999999999996</v>
      </c>
      <c r="I61" s="2">
        <v>4.8</v>
      </c>
      <c r="J61" s="8">
        <v>88.2</v>
      </c>
      <c r="K61" s="2">
        <v>1325</v>
      </c>
      <c r="L61" s="2">
        <v>5</v>
      </c>
      <c r="M61" s="2">
        <v>4</v>
      </c>
      <c r="N61" s="2">
        <v>5</v>
      </c>
      <c r="O61" s="2">
        <v>3377</v>
      </c>
      <c r="P61" s="2">
        <v>0</v>
      </c>
      <c r="Q61" s="2"/>
      <c r="R61">
        <f t="shared" si="1"/>
        <v>88200</v>
      </c>
    </row>
    <row r="62" spans="1:18">
      <c r="A62" t="s">
        <v>64</v>
      </c>
      <c r="B62" t="s">
        <v>64</v>
      </c>
      <c r="C62" s="2">
        <v>1</v>
      </c>
      <c r="D62" s="5" t="s">
        <v>148</v>
      </c>
      <c r="E62" s="5" t="s">
        <v>149</v>
      </c>
      <c r="F62" s="2">
        <v>4.4000000000000004</v>
      </c>
      <c r="G62" s="2">
        <v>4.4000000000000004</v>
      </c>
      <c r="H62" s="2">
        <v>4.5999999999999996</v>
      </c>
      <c r="I62" s="2">
        <v>4.4000000000000004</v>
      </c>
      <c r="J62" s="8">
        <v>59.4</v>
      </c>
      <c r="K62" s="2">
        <v>1555</v>
      </c>
      <c r="L62" s="2">
        <v>3</v>
      </c>
      <c r="M62" s="2">
        <v>2</v>
      </c>
      <c r="N62" s="2">
        <v>2</v>
      </c>
      <c r="O62" s="2">
        <v>480</v>
      </c>
      <c r="P62" s="2">
        <v>0</v>
      </c>
      <c r="Q62" s="2"/>
      <c r="R62">
        <f t="shared" si="1"/>
        <v>59400</v>
      </c>
    </row>
    <row r="63" spans="1:18">
      <c r="A63" t="s">
        <v>64</v>
      </c>
      <c r="B63" t="s">
        <v>64</v>
      </c>
      <c r="C63" s="2">
        <v>1</v>
      </c>
      <c r="D63" s="5" t="s">
        <v>150</v>
      </c>
      <c r="E63" s="5" t="s">
        <v>76</v>
      </c>
      <c r="F63" s="2">
        <v>4.8</v>
      </c>
      <c r="G63" s="2">
        <v>4.8</v>
      </c>
      <c r="H63" s="2">
        <v>4.8</v>
      </c>
      <c r="I63" s="2">
        <v>4.8</v>
      </c>
      <c r="J63" s="8">
        <v>40</v>
      </c>
      <c r="K63" s="9">
        <v>1178</v>
      </c>
      <c r="L63" s="9">
        <v>5</v>
      </c>
      <c r="M63" s="9">
        <v>3</v>
      </c>
      <c r="N63" s="9">
        <v>5</v>
      </c>
      <c r="O63" s="2">
        <v>502</v>
      </c>
      <c r="P63" s="9">
        <v>0</v>
      </c>
      <c r="Q63" s="2"/>
      <c r="R63">
        <f t="shared" si="1"/>
        <v>40000</v>
      </c>
    </row>
    <row r="64" spans="1:18">
      <c r="A64" t="s">
        <v>64</v>
      </c>
      <c r="B64" t="s">
        <v>64</v>
      </c>
      <c r="C64" s="2">
        <v>1</v>
      </c>
      <c r="D64" t="s">
        <v>151</v>
      </c>
      <c r="E64" s="5" t="s">
        <v>91</v>
      </c>
      <c r="F64" s="2">
        <v>4.5</v>
      </c>
      <c r="G64" s="2">
        <v>4.3</v>
      </c>
      <c r="H64" s="2">
        <v>4.8</v>
      </c>
      <c r="I64" s="2">
        <v>4.5999999999999996</v>
      </c>
      <c r="J64" s="8">
        <v>64.5</v>
      </c>
      <c r="K64" s="9">
        <v>2861</v>
      </c>
      <c r="L64" s="9">
        <v>13</v>
      </c>
      <c r="M64" s="9">
        <v>5</v>
      </c>
      <c r="N64" s="9">
        <v>4</v>
      </c>
      <c r="O64" s="2">
        <v>983</v>
      </c>
      <c r="P64" s="9">
        <v>0</v>
      </c>
      <c r="Q64" s="2"/>
      <c r="R64">
        <f t="shared" si="1"/>
        <v>64500</v>
      </c>
    </row>
    <row r="65" spans="1:22">
      <c r="A65" t="s">
        <v>64</v>
      </c>
      <c r="B65" t="s">
        <v>64</v>
      </c>
      <c r="C65" s="2">
        <v>1</v>
      </c>
      <c r="D65" t="s">
        <v>152</v>
      </c>
      <c r="E65" s="5" t="s">
        <v>68</v>
      </c>
      <c r="F65" s="2">
        <v>4.5</v>
      </c>
      <c r="G65" s="2">
        <v>4.5999999999999996</v>
      </c>
      <c r="H65" s="2">
        <v>4.7</v>
      </c>
      <c r="I65" s="2">
        <v>4.7</v>
      </c>
      <c r="J65" s="8">
        <v>18.399999999999999</v>
      </c>
      <c r="K65" s="9">
        <v>853</v>
      </c>
      <c r="L65" s="9">
        <v>2</v>
      </c>
      <c r="M65" s="9">
        <v>1</v>
      </c>
      <c r="N65" s="9">
        <v>1</v>
      </c>
      <c r="O65" s="2">
        <v>450</v>
      </c>
      <c r="P65" s="9">
        <v>0</v>
      </c>
      <c r="Q65" s="2"/>
      <c r="R65">
        <f t="shared" si="1"/>
        <v>18400</v>
      </c>
    </row>
    <row r="66" spans="1:22">
      <c r="A66" t="s">
        <v>64</v>
      </c>
      <c r="B66" t="s">
        <v>64</v>
      </c>
      <c r="C66" s="2">
        <v>1</v>
      </c>
      <c r="D66" t="s">
        <v>150</v>
      </c>
      <c r="E66" s="5" t="s">
        <v>76</v>
      </c>
      <c r="F66" s="2">
        <v>4.8</v>
      </c>
      <c r="G66" s="2">
        <v>4.8</v>
      </c>
      <c r="H66" s="2">
        <v>4.8</v>
      </c>
      <c r="I66" s="2">
        <v>4.8</v>
      </c>
      <c r="J66" s="8">
        <v>40.1</v>
      </c>
      <c r="K66" s="9">
        <v>1178</v>
      </c>
      <c r="L66" s="9">
        <v>5</v>
      </c>
      <c r="M66" s="9">
        <v>3</v>
      </c>
      <c r="N66" s="9">
        <v>4</v>
      </c>
      <c r="O66" s="2">
        <v>502</v>
      </c>
      <c r="P66" s="9">
        <v>0</v>
      </c>
      <c r="Q66" s="2"/>
      <c r="R66">
        <f t="shared" si="1"/>
        <v>40100</v>
      </c>
    </row>
    <row r="67" spans="1:22">
      <c r="A67" t="s">
        <v>64</v>
      </c>
      <c r="B67" t="s">
        <v>64</v>
      </c>
      <c r="C67" s="2">
        <v>1</v>
      </c>
      <c r="D67" t="s">
        <v>153</v>
      </c>
      <c r="E67" s="5" t="s">
        <v>70</v>
      </c>
      <c r="F67" s="2">
        <v>4.7</v>
      </c>
      <c r="G67" s="2">
        <v>4.5999999999999996</v>
      </c>
      <c r="H67" s="2">
        <v>4.8</v>
      </c>
      <c r="I67" s="2">
        <v>4.7</v>
      </c>
      <c r="J67" s="8">
        <v>66.400000000000006</v>
      </c>
      <c r="K67" s="9">
        <v>3173</v>
      </c>
      <c r="L67" s="9">
        <v>8</v>
      </c>
      <c r="M67" s="9">
        <v>4</v>
      </c>
      <c r="N67" s="9">
        <v>3</v>
      </c>
      <c r="O67" s="2">
        <v>746</v>
      </c>
      <c r="P67" s="9">
        <v>0</v>
      </c>
      <c r="Q67" s="2"/>
      <c r="R67">
        <f t="shared" si="1"/>
        <v>66400</v>
      </c>
    </row>
    <row r="68" spans="1:22">
      <c r="A68" t="s">
        <v>64</v>
      </c>
      <c r="B68" t="s">
        <v>64</v>
      </c>
      <c r="C68" s="2">
        <v>1</v>
      </c>
      <c r="D68" t="s">
        <v>154</v>
      </c>
      <c r="E68" s="5" t="s">
        <v>76</v>
      </c>
      <c r="F68" s="2">
        <v>4.9000000000000004</v>
      </c>
      <c r="G68" s="2">
        <v>4.9000000000000004</v>
      </c>
      <c r="H68" s="2">
        <v>4.9000000000000004</v>
      </c>
      <c r="I68" s="2">
        <v>4.9000000000000004</v>
      </c>
      <c r="J68" s="8">
        <v>35.6</v>
      </c>
      <c r="K68" s="9">
        <v>824</v>
      </c>
      <c r="L68" s="9">
        <v>7</v>
      </c>
      <c r="M68" s="9">
        <v>5</v>
      </c>
      <c r="N68" s="9">
        <v>3</v>
      </c>
      <c r="O68" s="2">
        <v>946</v>
      </c>
      <c r="P68" s="9">
        <v>0</v>
      </c>
      <c r="Q68" s="2"/>
      <c r="R68">
        <f t="shared" si="1"/>
        <v>35600</v>
      </c>
    </row>
    <row r="69" spans="1:22">
      <c r="A69" s="5" t="s">
        <v>155</v>
      </c>
      <c r="B69" s="5" t="s">
        <v>156</v>
      </c>
      <c r="C69" s="2">
        <v>3</v>
      </c>
      <c r="D69" t="s">
        <v>157</v>
      </c>
      <c r="E69" s="5" t="s">
        <v>119</v>
      </c>
      <c r="F69" s="2">
        <v>4.5</v>
      </c>
      <c r="G69" s="2">
        <v>4.2</v>
      </c>
      <c r="H69" s="2">
        <v>4.3</v>
      </c>
      <c r="I69" s="2">
        <v>4</v>
      </c>
      <c r="J69" s="8">
        <v>43.6</v>
      </c>
      <c r="K69" s="9">
        <v>13970</v>
      </c>
      <c r="L69" s="9">
        <v>17</v>
      </c>
      <c r="M69" s="9">
        <v>3</v>
      </c>
      <c r="N69" s="9">
        <v>4</v>
      </c>
      <c r="O69" s="2">
        <v>980</v>
      </c>
      <c r="P69" s="9">
        <v>0</v>
      </c>
      <c r="Q69" s="2"/>
      <c r="R69">
        <f t="shared" si="1"/>
        <v>43600</v>
      </c>
    </row>
    <row r="70" spans="1:22">
      <c r="A70" s="5" t="s">
        <v>155</v>
      </c>
      <c r="B70" s="5" t="s">
        <v>156</v>
      </c>
      <c r="C70" s="2">
        <v>2</v>
      </c>
      <c r="D70" t="s">
        <v>158</v>
      </c>
      <c r="E70" s="5" t="s">
        <v>119</v>
      </c>
      <c r="F70" s="2">
        <v>4.8</v>
      </c>
      <c r="G70" s="2">
        <v>4.8</v>
      </c>
      <c r="H70" s="2">
        <v>4.8</v>
      </c>
      <c r="I70" s="2">
        <v>4.8</v>
      </c>
      <c r="J70" s="8">
        <v>162.30000000000001</v>
      </c>
      <c r="K70" s="9">
        <v>6715</v>
      </c>
      <c r="L70" s="9">
        <v>7</v>
      </c>
      <c r="M70" s="9">
        <v>5</v>
      </c>
      <c r="N70" s="9">
        <v>6</v>
      </c>
      <c r="O70" s="2">
        <v>537</v>
      </c>
      <c r="P70" s="9">
        <v>1</v>
      </c>
      <c r="Q70" s="2"/>
      <c r="R70">
        <f t="shared" si="1"/>
        <v>162300</v>
      </c>
    </row>
    <row r="71" spans="1:22">
      <c r="A71" s="5" t="s">
        <v>155</v>
      </c>
      <c r="B71" s="5" t="s">
        <v>156</v>
      </c>
      <c r="C71" s="2">
        <v>2</v>
      </c>
      <c r="D71" t="s">
        <v>159</v>
      </c>
      <c r="E71" s="5" t="s">
        <v>76</v>
      </c>
      <c r="F71" s="2">
        <v>4.8</v>
      </c>
      <c r="G71" s="2">
        <v>4.8</v>
      </c>
      <c r="H71" s="2">
        <v>4.9000000000000004</v>
      </c>
      <c r="I71" s="2">
        <v>4.8</v>
      </c>
      <c r="J71" s="8">
        <v>139.5</v>
      </c>
      <c r="K71" s="9">
        <v>4825</v>
      </c>
      <c r="L71" s="9">
        <v>5</v>
      </c>
      <c r="M71" s="9">
        <v>4</v>
      </c>
      <c r="N71" s="9">
        <v>5</v>
      </c>
      <c r="O71" s="2">
        <v>1017</v>
      </c>
      <c r="P71" s="9">
        <v>4</v>
      </c>
      <c r="Q71" s="2"/>
      <c r="R71">
        <f t="shared" si="1"/>
        <v>139500</v>
      </c>
      <c r="V71" s="2"/>
    </row>
    <row r="72" spans="1:22">
      <c r="A72" s="5" t="s">
        <v>155</v>
      </c>
      <c r="B72" s="5" t="s">
        <v>156</v>
      </c>
      <c r="C72" s="2">
        <v>2</v>
      </c>
      <c r="D72" t="s">
        <v>160</v>
      </c>
      <c r="E72" s="5" t="s">
        <v>119</v>
      </c>
      <c r="F72" s="2">
        <v>4.7</v>
      </c>
      <c r="G72" s="9">
        <v>4.5999999999999996</v>
      </c>
      <c r="H72" s="9">
        <v>4.8</v>
      </c>
      <c r="I72" s="9">
        <v>4.7</v>
      </c>
      <c r="J72" s="8">
        <v>71.599999999999994</v>
      </c>
      <c r="K72" s="9">
        <v>1299</v>
      </c>
      <c r="L72" s="9">
        <v>3</v>
      </c>
      <c r="M72" s="9">
        <v>1</v>
      </c>
      <c r="N72" s="9">
        <v>2</v>
      </c>
      <c r="O72" s="2">
        <v>1246</v>
      </c>
      <c r="P72" s="9">
        <v>0</v>
      </c>
      <c r="Q72" s="2"/>
      <c r="R72">
        <f t="shared" si="1"/>
        <v>71600</v>
      </c>
      <c r="V72" s="2"/>
    </row>
    <row r="73" spans="1:22">
      <c r="A73" s="5" t="s">
        <v>155</v>
      </c>
      <c r="B73" s="5" t="s">
        <v>156</v>
      </c>
      <c r="C73" s="2">
        <v>1</v>
      </c>
      <c r="D73" t="s">
        <v>161</v>
      </c>
      <c r="E73" s="5" t="s">
        <v>149</v>
      </c>
      <c r="F73" s="2">
        <v>4.4000000000000004</v>
      </c>
      <c r="G73" s="9">
        <v>4.4000000000000004</v>
      </c>
      <c r="H73" s="9">
        <v>4.7</v>
      </c>
      <c r="I73" s="9">
        <v>4.4000000000000004</v>
      </c>
      <c r="J73" s="8">
        <v>119.2</v>
      </c>
      <c r="K73" s="9">
        <v>3633</v>
      </c>
      <c r="L73" s="9">
        <v>5</v>
      </c>
      <c r="M73" s="9">
        <v>6</v>
      </c>
      <c r="N73" s="9">
        <v>5</v>
      </c>
      <c r="O73" s="2">
        <v>297</v>
      </c>
      <c r="P73" s="9">
        <v>0</v>
      </c>
      <c r="Q73" s="2"/>
      <c r="R73">
        <f t="shared" si="1"/>
        <v>119200</v>
      </c>
      <c r="V73" s="2"/>
    </row>
    <row r="74" spans="1:22">
      <c r="A74" s="5" t="s">
        <v>155</v>
      </c>
      <c r="B74" s="5" t="s">
        <v>156</v>
      </c>
      <c r="C74" s="2">
        <v>1</v>
      </c>
      <c r="D74" t="s">
        <v>162</v>
      </c>
      <c r="E74" s="5" t="s">
        <v>119</v>
      </c>
      <c r="F74" s="2">
        <v>4.8</v>
      </c>
      <c r="G74" s="9">
        <v>4.8</v>
      </c>
      <c r="H74" s="9">
        <v>4.8</v>
      </c>
      <c r="I74" s="9">
        <v>4.9000000000000004</v>
      </c>
      <c r="J74" s="8">
        <v>56</v>
      </c>
      <c r="K74" s="9">
        <v>1159</v>
      </c>
      <c r="L74" s="9">
        <v>3</v>
      </c>
      <c r="M74" s="9">
        <v>3</v>
      </c>
      <c r="N74" s="9">
        <v>3</v>
      </c>
      <c r="O74" s="2">
        <v>1520</v>
      </c>
      <c r="P74" s="9">
        <v>0</v>
      </c>
      <c r="Q74" s="2"/>
      <c r="R74">
        <f t="shared" si="1"/>
        <v>56000</v>
      </c>
      <c r="V74" s="2"/>
    </row>
    <row r="75" spans="1:22">
      <c r="A75" s="5" t="s">
        <v>155</v>
      </c>
      <c r="B75" s="5" t="s">
        <v>156</v>
      </c>
      <c r="C75" s="2">
        <v>1</v>
      </c>
      <c r="D75" t="s">
        <v>163</v>
      </c>
      <c r="E75" s="5" t="s">
        <v>91</v>
      </c>
      <c r="F75" s="2">
        <v>4.2</v>
      </c>
      <c r="G75" s="9">
        <v>4.2</v>
      </c>
      <c r="H75" s="9">
        <v>4.3</v>
      </c>
      <c r="I75" s="9">
        <v>4.3</v>
      </c>
      <c r="J75" s="8">
        <v>107.5</v>
      </c>
      <c r="K75" s="9">
        <v>6342</v>
      </c>
      <c r="L75" s="9">
        <v>7</v>
      </c>
      <c r="M75" s="9">
        <v>4</v>
      </c>
      <c r="N75" s="9">
        <v>6</v>
      </c>
      <c r="O75" s="2">
        <v>400</v>
      </c>
      <c r="P75" s="9">
        <v>1</v>
      </c>
      <c r="Q75" s="2"/>
      <c r="R75">
        <f t="shared" si="1"/>
        <v>107500</v>
      </c>
      <c r="V75" s="2"/>
    </row>
    <row r="76" spans="1:22">
      <c r="A76" s="5" t="s">
        <v>155</v>
      </c>
      <c r="B76" s="5" t="s">
        <v>156</v>
      </c>
      <c r="C76" s="2">
        <v>1</v>
      </c>
      <c r="D76" t="s">
        <v>164</v>
      </c>
      <c r="E76" s="5" t="s">
        <v>91</v>
      </c>
      <c r="F76" s="2">
        <v>4.4000000000000004</v>
      </c>
      <c r="G76" s="9">
        <v>4.5</v>
      </c>
      <c r="H76" s="9">
        <v>4.4000000000000004</v>
      </c>
      <c r="I76" s="9">
        <v>4.4000000000000004</v>
      </c>
      <c r="J76" s="8">
        <v>114.4</v>
      </c>
      <c r="K76" s="9">
        <v>5154</v>
      </c>
      <c r="L76" s="9">
        <v>14</v>
      </c>
      <c r="M76" s="9">
        <v>4</v>
      </c>
      <c r="N76" s="9">
        <v>7</v>
      </c>
      <c r="O76" s="2">
        <v>350</v>
      </c>
      <c r="P76" s="9">
        <v>1</v>
      </c>
      <c r="Q76" s="9" t="s">
        <v>79</v>
      </c>
      <c r="R76">
        <f t="shared" ref="R76:R139" si="2">J76*1000</f>
        <v>114400</v>
      </c>
      <c r="V76" s="2"/>
    </row>
    <row r="77" spans="1:22">
      <c r="A77" s="5" t="s">
        <v>155</v>
      </c>
      <c r="B77" s="5" t="s">
        <v>156</v>
      </c>
      <c r="C77" s="2">
        <v>1</v>
      </c>
      <c r="D77" t="s">
        <v>165</v>
      </c>
      <c r="E77" s="5" t="s">
        <v>132</v>
      </c>
      <c r="F77" s="2">
        <v>4.7</v>
      </c>
      <c r="G77" s="9">
        <v>4.8</v>
      </c>
      <c r="H77" s="9">
        <v>4.8</v>
      </c>
      <c r="I77" s="9">
        <v>4.5999999999999996</v>
      </c>
      <c r="J77" s="8">
        <v>69.8</v>
      </c>
      <c r="K77" s="9">
        <v>4516</v>
      </c>
      <c r="L77" s="9">
        <v>6</v>
      </c>
      <c r="M77" s="9">
        <v>5</v>
      </c>
      <c r="N77" s="9">
        <v>6</v>
      </c>
      <c r="O77" s="2">
        <v>831</v>
      </c>
      <c r="P77" s="9">
        <v>2</v>
      </c>
      <c r="Q77" s="2"/>
      <c r="R77">
        <f t="shared" si="2"/>
        <v>69800</v>
      </c>
      <c r="V77" s="2"/>
    </row>
    <row r="78" spans="1:22">
      <c r="A78" s="5" t="s">
        <v>155</v>
      </c>
      <c r="B78" s="5" t="s">
        <v>156</v>
      </c>
      <c r="C78" s="2">
        <v>1</v>
      </c>
      <c r="D78" t="s">
        <v>166</v>
      </c>
      <c r="E78" s="5" t="s">
        <v>98</v>
      </c>
      <c r="F78" s="2">
        <v>4.7</v>
      </c>
      <c r="G78" s="9">
        <v>4.7</v>
      </c>
      <c r="H78" s="9">
        <v>4.8</v>
      </c>
      <c r="I78" s="9">
        <v>4.8</v>
      </c>
      <c r="J78" s="8">
        <v>8.9</v>
      </c>
      <c r="K78" s="9">
        <v>351</v>
      </c>
      <c r="L78" s="9">
        <v>1</v>
      </c>
      <c r="M78" s="9">
        <v>1</v>
      </c>
      <c r="N78" s="9">
        <v>1</v>
      </c>
      <c r="O78" s="2">
        <v>405</v>
      </c>
      <c r="P78" s="9">
        <v>0</v>
      </c>
      <c r="Q78" s="2"/>
      <c r="R78">
        <f t="shared" si="2"/>
        <v>8900</v>
      </c>
      <c r="V78" s="2"/>
    </row>
    <row r="79" spans="1:22">
      <c r="A79" s="5" t="s">
        <v>155</v>
      </c>
      <c r="B79" s="5" t="s">
        <v>156</v>
      </c>
      <c r="C79" s="2">
        <v>1</v>
      </c>
      <c r="D79" t="s">
        <v>167</v>
      </c>
      <c r="E79" s="5" t="s">
        <v>84</v>
      </c>
      <c r="F79" s="2">
        <v>4.3</v>
      </c>
      <c r="G79" s="9">
        <v>4.2</v>
      </c>
      <c r="H79" s="9">
        <v>4.4000000000000004</v>
      </c>
      <c r="I79" s="9">
        <v>4.4000000000000004</v>
      </c>
      <c r="J79" s="8">
        <v>121.1</v>
      </c>
      <c r="K79" s="9">
        <v>5203</v>
      </c>
      <c r="L79" s="9">
        <v>10</v>
      </c>
      <c r="M79" s="9">
        <v>5</v>
      </c>
      <c r="N79" s="9">
        <v>7</v>
      </c>
      <c r="O79" s="2">
        <v>999</v>
      </c>
      <c r="P79" s="9">
        <v>0</v>
      </c>
      <c r="Q79" s="2"/>
      <c r="R79">
        <f t="shared" si="2"/>
        <v>121100</v>
      </c>
      <c r="V79" s="2"/>
    </row>
    <row r="80" spans="1:22">
      <c r="A80" s="5" t="s">
        <v>155</v>
      </c>
      <c r="B80" s="5" t="s">
        <v>156</v>
      </c>
      <c r="C80" s="2">
        <v>1</v>
      </c>
      <c r="D80" t="s">
        <v>168</v>
      </c>
      <c r="E80" s="5" t="s">
        <v>72</v>
      </c>
      <c r="F80" s="2">
        <v>4.5</v>
      </c>
      <c r="G80" s="9">
        <v>4.5</v>
      </c>
      <c r="H80" s="9">
        <v>4.5999999999999996</v>
      </c>
      <c r="I80" s="9">
        <v>4.5999999999999996</v>
      </c>
      <c r="J80" s="8">
        <v>66.8</v>
      </c>
      <c r="K80" s="9">
        <v>2218</v>
      </c>
      <c r="L80" s="9">
        <v>4</v>
      </c>
      <c r="M80" s="9">
        <v>4</v>
      </c>
      <c r="N80" s="9">
        <v>3</v>
      </c>
      <c r="O80" s="2">
        <v>955</v>
      </c>
      <c r="P80" s="9">
        <v>0</v>
      </c>
      <c r="Q80" s="2"/>
      <c r="R80">
        <f t="shared" si="2"/>
        <v>66800</v>
      </c>
      <c r="V80" s="2"/>
    </row>
    <row r="81" spans="1:22">
      <c r="A81" s="5" t="s">
        <v>155</v>
      </c>
      <c r="B81" s="5" t="s">
        <v>156</v>
      </c>
      <c r="C81" s="2">
        <v>1</v>
      </c>
      <c r="D81" t="s">
        <v>169</v>
      </c>
      <c r="E81" s="5" t="s">
        <v>170</v>
      </c>
      <c r="F81" s="2">
        <v>4.4000000000000004</v>
      </c>
      <c r="G81" s="9">
        <v>4.4000000000000004</v>
      </c>
      <c r="H81" s="9">
        <v>4.5999999999999996</v>
      </c>
      <c r="I81" s="9">
        <v>4.4000000000000004</v>
      </c>
      <c r="J81" s="8">
        <v>11.9</v>
      </c>
      <c r="K81" s="9">
        <v>333</v>
      </c>
      <c r="L81" s="9">
        <v>3</v>
      </c>
      <c r="M81" s="9">
        <v>2</v>
      </c>
      <c r="N81" s="9">
        <v>1</v>
      </c>
      <c r="O81" s="2">
        <v>1452</v>
      </c>
      <c r="P81" s="9">
        <v>0</v>
      </c>
      <c r="Q81" s="2"/>
      <c r="R81">
        <f t="shared" si="2"/>
        <v>11900</v>
      </c>
      <c r="V81" s="2"/>
    </row>
    <row r="82" spans="1:22">
      <c r="A82" s="5" t="s">
        <v>155</v>
      </c>
      <c r="B82" s="5" t="s">
        <v>156</v>
      </c>
      <c r="C82" s="2">
        <v>1</v>
      </c>
      <c r="D82" t="s">
        <v>171</v>
      </c>
      <c r="E82" s="5" t="s">
        <v>72</v>
      </c>
      <c r="F82" s="2">
        <v>4.8</v>
      </c>
      <c r="G82" s="9">
        <v>4.8</v>
      </c>
      <c r="H82" s="9">
        <v>4.9000000000000004</v>
      </c>
      <c r="I82" s="9">
        <v>4.9000000000000004</v>
      </c>
      <c r="J82" s="8">
        <v>25.4</v>
      </c>
      <c r="K82" s="9">
        <v>522</v>
      </c>
      <c r="L82" s="9">
        <v>1</v>
      </c>
      <c r="M82" s="9">
        <v>1</v>
      </c>
      <c r="N82" s="9">
        <v>1</v>
      </c>
      <c r="O82" s="2">
        <v>1372</v>
      </c>
      <c r="P82" s="9">
        <v>0</v>
      </c>
      <c r="Q82" s="2"/>
      <c r="R82">
        <f t="shared" si="2"/>
        <v>25400</v>
      </c>
      <c r="V82" s="2"/>
    </row>
    <row r="83" spans="1:22">
      <c r="A83" s="5" t="s">
        <v>155</v>
      </c>
      <c r="B83" s="5" t="s">
        <v>156</v>
      </c>
      <c r="C83" s="2">
        <v>1</v>
      </c>
      <c r="D83" t="s">
        <v>172</v>
      </c>
      <c r="E83" s="5" t="s">
        <v>74</v>
      </c>
      <c r="F83" s="2">
        <v>4.7</v>
      </c>
      <c r="G83" s="9">
        <v>4.5999999999999996</v>
      </c>
      <c r="H83" s="9">
        <v>4.7</v>
      </c>
      <c r="I83" s="9">
        <v>4.7</v>
      </c>
      <c r="J83" s="8">
        <v>52.9</v>
      </c>
      <c r="K83" s="9">
        <v>1358</v>
      </c>
      <c r="L83" s="9">
        <v>10</v>
      </c>
      <c r="M83" s="9">
        <v>5</v>
      </c>
      <c r="N83" s="9">
        <v>1</v>
      </c>
      <c r="O83" s="2">
        <v>988</v>
      </c>
      <c r="P83" s="9">
        <v>0</v>
      </c>
      <c r="Q83" s="2"/>
      <c r="R83">
        <f t="shared" si="2"/>
        <v>52900</v>
      </c>
      <c r="V83" s="2"/>
    </row>
    <row r="84" spans="1:22">
      <c r="A84" s="5" t="s">
        <v>155</v>
      </c>
      <c r="B84" s="5" t="s">
        <v>156</v>
      </c>
      <c r="C84" s="2">
        <v>1</v>
      </c>
      <c r="D84" t="s">
        <v>173</v>
      </c>
      <c r="E84" s="5" t="s">
        <v>78</v>
      </c>
      <c r="F84" s="2">
        <v>4.5999999999999996</v>
      </c>
      <c r="G84" s="9">
        <v>4.5</v>
      </c>
      <c r="H84" s="9">
        <v>4.5999999999999996</v>
      </c>
      <c r="I84" s="9">
        <v>4.8</v>
      </c>
      <c r="J84" s="8">
        <v>77.2</v>
      </c>
      <c r="K84" s="9">
        <v>1512</v>
      </c>
      <c r="L84" s="9">
        <v>7</v>
      </c>
      <c r="M84" s="9">
        <v>5</v>
      </c>
      <c r="N84" s="9">
        <v>5</v>
      </c>
      <c r="O84" s="2">
        <v>1700</v>
      </c>
      <c r="P84" s="9">
        <v>0</v>
      </c>
      <c r="Q84" s="2"/>
      <c r="R84">
        <f t="shared" si="2"/>
        <v>77200</v>
      </c>
      <c r="V84" s="2"/>
    </row>
    <row r="85" spans="1:22">
      <c r="A85" s="5" t="s">
        <v>155</v>
      </c>
      <c r="B85" s="5" t="s">
        <v>156</v>
      </c>
      <c r="C85" s="2">
        <v>1</v>
      </c>
      <c r="D85" t="s">
        <v>174</v>
      </c>
      <c r="E85" s="5" t="s">
        <v>78</v>
      </c>
      <c r="F85" s="2">
        <v>4.5999999999999996</v>
      </c>
      <c r="G85" s="9">
        <v>4.5999999999999996</v>
      </c>
      <c r="H85" s="9">
        <v>4.5999999999999996</v>
      </c>
      <c r="I85" s="9">
        <v>4.5999999999999996</v>
      </c>
      <c r="J85" s="8">
        <v>145.9</v>
      </c>
      <c r="K85" s="9">
        <v>7837</v>
      </c>
      <c r="L85" s="9">
        <v>7</v>
      </c>
      <c r="M85" s="9">
        <v>5</v>
      </c>
      <c r="N85" s="9">
        <v>6</v>
      </c>
      <c r="O85" s="2">
        <v>1115</v>
      </c>
      <c r="P85" s="9">
        <v>0</v>
      </c>
      <c r="Q85" s="2"/>
      <c r="R85">
        <f t="shared" si="2"/>
        <v>145900</v>
      </c>
      <c r="V85" s="2"/>
    </row>
    <row r="86" spans="1:22">
      <c r="A86" s="5" t="s">
        <v>155</v>
      </c>
      <c r="B86" s="5" t="s">
        <v>156</v>
      </c>
      <c r="C86" s="2">
        <v>1</v>
      </c>
      <c r="D86" t="s">
        <v>175</v>
      </c>
      <c r="E86" s="5" t="s">
        <v>122</v>
      </c>
      <c r="F86" s="2">
        <v>4.5999999999999996</v>
      </c>
      <c r="G86" s="9">
        <v>4.7</v>
      </c>
      <c r="H86" s="9">
        <v>4.3</v>
      </c>
      <c r="I86" s="2">
        <v>4.8</v>
      </c>
      <c r="J86" s="8">
        <v>63.6</v>
      </c>
      <c r="K86" s="9">
        <v>1804</v>
      </c>
      <c r="L86" s="9">
        <v>4</v>
      </c>
      <c r="M86" s="9">
        <v>4</v>
      </c>
      <c r="N86" s="9">
        <v>4</v>
      </c>
      <c r="O86" s="2">
        <v>1470</v>
      </c>
      <c r="P86" s="9">
        <v>0</v>
      </c>
      <c r="Q86" s="9" t="s">
        <v>176</v>
      </c>
      <c r="R86">
        <f t="shared" si="2"/>
        <v>63600</v>
      </c>
      <c r="V86" s="2"/>
    </row>
    <row r="87" spans="1:22">
      <c r="A87" s="5" t="s">
        <v>155</v>
      </c>
      <c r="B87" s="5" t="s">
        <v>156</v>
      </c>
      <c r="C87" s="2">
        <v>1</v>
      </c>
      <c r="D87" t="s">
        <v>177</v>
      </c>
      <c r="E87" s="5" t="s">
        <v>101</v>
      </c>
      <c r="F87" s="2">
        <v>4.9000000000000004</v>
      </c>
      <c r="G87" s="2">
        <v>4.9000000000000004</v>
      </c>
      <c r="H87" s="9">
        <v>4.7</v>
      </c>
      <c r="I87" s="9">
        <v>4.9000000000000004</v>
      </c>
      <c r="J87" s="8">
        <v>116.4</v>
      </c>
      <c r="K87" s="9">
        <v>2557</v>
      </c>
      <c r="L87" s="9">
        <v>7</v>
      </c>
      <c r="M87" s="9">
        <v>5</v>
      </c>
      <c r="N87" s="9">
        <v>4</v>
      </c>
      <c r="O87" s="2">
        <v>1315</v>
      </c>
      <c r="P87" s="9">
        <v>0</v>
      </c>
      <c r="Q87" s="9" t="s">
        <v>79</v>
      </c>
      <c r="R87">
        <f t="shared" si="2"/>
        <v>116400</v>
      </c>
      <c r="V87" s="2"/>
    </row>
    <row r="88" spans="1:22">
      <c r="A88" s="5" t="s">
        <v>155</v>
      </c>
      <c r="B88" s="5" t="s">
        <v>156</v>
      </c>
      <c r="C88" s="2">
        <v>1</v>
      </c>
      <c r="D88" t="s">
        <v>178</v>
      </c>
      <c r="E88" s="5" t="s">
        <v>101</v>
      </c>
      <c r="F88" s="2">
        <v>4.5</v>
      </c>
      <c r="G88" s="2">
        <v>4.5</v>
      </c>
      <c r="H88" s="9">
        <v>4.4000000000000004</v>
      </c>
      <c r="I88" s="9">
        <v>4.5</v>
      </c>
      <c r="J88" s="8">
        <v>81</v>
      </c>
      <c r="K88" s="9">
        <v>2022</v>
      </c>
      <c r="L88" s="9">
        <v>8</v>
      </c>
      <c r="M88" s="9">
        <v>5</v>
      </c>
      <c r="N88" s="9">
        <v>7</v>
      </c>
      <c r="O88" s="2">
        <v>1103</v>
      </c>
      <c r="P88" s="9">
        <v>0</v>
      </c>
      <c r="Q88" s="2"/>
      <c r="R88">
        <f t="shared" si="2"/>
        <v>81000</v>
      </c>
      <c r="V88" s="2"/>
    </row>
    <row r="89" spans="1:22">
      <c r="A89" s="5" t="s">
        <v>155</v>
      </c>
      <c r="B89" s="5" t="s">
        <v>156</v>
      </c>
      <c r="C89" s="2">
        <v>1</v>
      </c>
      <c r="D89" t="s">
        <v>179</v>
      </c>
      <c r="E89" s="5" t="s">
        <v>81</v>
      </c>
      <c r="F89" s="2">
        <v>4.5999999999999996</v>
      </c>
      <c r="G89" s="2">
        <v>4.5999999999999996</v>
      </c>
      <c r="H89" s="9">
        <v>4.8</v>
      </c>
      <c r="I89" s="9">
        <v>4.7</v>
      </c>
      <c r="J89" s="8">
        <v>19.7</v>
      </c>
      <c r="K89" s="9">
        <v>514</v>
      </c>
      <c r="L89" s="9">
        <v>3</v>
      </c>
      <c r="M89" s="9">
        <v>1</v>
      </c>
      <c r="N89" s="9">
        <v>1</v>
      </c>
      <c r="O89" s="2">
        <v>1220</v>
      </c>
      <c r="P89" s="9">
        <v>0</v>
      </c>
      <c r="Q89" s="2"/>
      <c r="R89">
        <f t="shared" si="2"/>
        <v>19700</v>
      </c>
      <c r="V89" s="2"/>
    </row>
    <row r="90" spans="1:22">
      <c r="A90" s="5" t="s">
        <v>155</v>
      </c>
      <c r="B90" s="5" t="s">
        <v>156</v>
      </c>
      <c r="C90" s="2">
        <v>1</v>
      </c>
      <c r="D90" t="s">
        <v>180</v>
      </c>
      <c r="E90" s="5" t="s">
        <v>91</v>
      </c>
      <c r="F90" s="2">
        <v>4.5</v>
      </c>
      <c r="G90" s="2">
        <v>4.4000000000000004</v>
      </c>
      <c r="H90" s="9">
        <v>4.8</v>
      </c>
      <c r="I90" s="9">
        <v>4.7</v>
      </c>
      <c r="J90" s="8">
        <v>93.7</v>
      </c>
      <c r="K90" s="9">
        <v>3025</v>
      </c>
      <c r="L90" s="9">
        <v>5</v>
      </c>
      <c r="M90" s="9">
        <v>4</v>
      </c>
      <c r="N90" s="9">
        <v>3</v>
      </c>
      <c r="O90" s="2">
        <v>717</v>
      </c>
      <c r="P90" s="9">
        <v>0</v>
      </c>
      <c r="Q90" s="2"/>
      <c r="R90">
        <f t="shared" si="2"/>
        <v>93700</v>
      </c>
      <c r="V90" s="2"/>
    </row>
    <row r="91" spans="1:22">
      <c r="A91" s="5" t="s">
        <v>155</v>
      </c>
      <c r="B91" s="5" t="s">
        <v>156</v>
      </c>
      <c r="C91" s="2">
        <v>1</v>
      </c>
      <c r="D91" t="s">
        <v>157</v>
      </c>
      <c r="E91" s="5" t="s">
        <v>119</v>
      </c>
      <c r="F91" s="2">
        <v>4.5</v>
      </c>
      <c r="G91" s="2">
        <v>4.2</v>
      </c>
      <c r="H91" s="9">
        <v>4.3</v>
      </c>
      <c r="I91" s="9">
        <v>4</v>
      </c>
      <c r="J91" s="8">
        <v>43.6</v>
      </c>
      <c r="K91" s="9">
        <v>13970</v>
      </c>
      <c r="L91" s="9">
        <v>17</v>
      </c>
      <c r="M91" s="9">
        <v>3</v>
      </c>
      <c r="N91" s="9">
        <v>4</v>
      </c>
      <c r="O91" s="2">
        <v>980</v>
      </c>
      <c r="P91" s="9">
        <v>15</v>
      </c>
      <c r="Q91" s="2"/>
      <c r="R91">
        <f t="shared" si="2"/>
        <v>43600</v>
      </c>
      <c r="V91" s="2"/>
    </row>
    <row r="92" spans="1:22">
      <c r="A92" s="5" t="s">
        <v>155</v>
      </c>
      <c r="B92" s="5" t="s">
        <v>156</v>
      </c>
      <c r="C92" s="2">
        <v>1</v>
      </c>
      <c r="D92" t="s">
        <v>181</v>
      </c>
      <c r="E92" s="5" t="s">
        <v>122</v>
      </c>
      <c r="F92" s="2">
        <v>4.5999999999999996</v>
      </c>
      <c r="G92" s="2">
        <v>4.5999999999999996</v>
      </c>
      <c r="H92" s="9">
        <v>4.7</v>
      </c>
      <c r="I92" s="9">
        <v>4.7</v>
      </c>
      <c r="J92" s="8">
        <v>42.7</v>
      </c>
      <c r="K92" s="9">
        <v>500</v>
      </c>
      <c r="L92" s="9">
        <v>4</v>
      </c>
      <c r="M92" s="9">
        <v>3</v>
      </c>
      <c r="N92" s="9">
        <v>4</v>
      </c>
      <c r="O92" s="2">
        <v>865</v>
      </c>
      <c r="P92" s="9">
        <v>0</v>
      </c>
      <c r="Q92" s="2"/>
      <c r="R92">
        <f t="shared" si="2"/>
        <v>42700</v>
      </c>
      <c r="V92" s="9"/>
    </row>
    <row r="93" spans="1:22">
      <c r="A93" s="5" t="s">
        <v>155</v>
      </c>
      <c r="B93" s="5" t="s">
        <v>156</v>
      </c>
      <c r="C93" s="2">
        <v>1</v>
      </c>
      <c r="D93" t="s">
        <v>182</v>
      </c>
      <c r="E93" s="5" t="s">
        <v>101</v>
      </c>
      <c r="F93" s="2">
        <v>4.8</v>
      </c>
      <c r="G93" s="2">
        <v>4.8</v>
      </c>
      <c r="H93" s="2">
        <v>4.5999999999999996</v>
      </c>
      <c r="I93" s="2">
        <v>4.7</v>
      </c>
      <c r="J93" s="8">
        <v>91.5</v>
      </c>
      <c r="K93" s="2">
        <v>1810</v>
      </c>
      <c r="L93" s="2">
        <v>12</v>
      </c>
      <c r="M93" s="2">
        <v>5</v>
      </c>
      <c r="N93" s="9">
        <v>7</v>
      </c>
      <c r="O93" s="2">
        <v>1500</v>
      </c>
      <c r="P93" s="2">
        <v>2</v>
      </c>
      <c r="Q93" s="2"/>
      <c r="R93">
        <f t="shared" si="2"/>
        <v>91500</v>
      </c>
      <c r="V93" s="2"/>
    </row>
    <row r="94" spans="1:22">
      <c r="A94" s="5" t="s">
        <v>155</v>
      </c>
      <c r="B94" s="5" t="s">
        <v>156</v>
      </c>
      <c r="C94" s="2">
        <v>1</v>
      </c>
      <c r="D94" t="s">
        <v>158</v>
      </c>
      <c r="E94" s="5" t="s">
        <v>119</v>
      </c>
      <c r="F94" s="2">
        <v>4.8</v>
      </c>
      <c r="G94" s="2">
        <v>4.8</v>
      </c>
      <c r="H94" s="2">
        <v>4.8</v>
      </c>
      <c r="I94" s="2">
        <v>4.8</v>
      </c>
      <c r="J94" s="8">
        <v>162.4</v>
      </c>
      <c r="K94" s="2">
        <v>6716</v>
      </c>
      <c r="L94" s="2">
        <v>7</v>
      </c>
      <c r="M94" s="2">
        <v>5</v>
      </c>
      <c r="N94" s="2">
        <v>6</v>
      </c>
      <c r="O94" s="2">
        <v>537</v>
      </c>
      <c r="P94" s="2">
        <v>1</v>
      </c>
      <c r="Q94" s="9" t="s">
        <v>176</v>
      </c>
      <c r="R94">
        <f t="shared" si="2"/>
        <v>162400</v>
      </c>
      <c r="V94" s="2"/>
    </row>
    <row r="95" spans="1:22">
      <c r="A95" s="5" t="s">
        <v>155</v>
      </c>
      <c r="B95" s="5" t="s">
        <v>156</v>
      </c>
      <c r="C95" s="2">
        <v>1</v>
      </c>
      <c r="D95" t="s">
        <v>183</v>
      </c>
      <c r="E95" s="5" t="s">
        <v>132</v>
      </c>
      <c r="F95" s="2">
        <v>4.8</v>
      </c>
      <c r="G95" s="2">
        <v>4.8</v>
      </c>
      <c r="H95" s="2">
        <v>4.8</v>
      </c>
      <c r="I95" s="2">
        <v>4.8</v>
      </c>
      <c r="J95" s="8">
        <v>69.7</v>
      </c>
      <c r="K95" s="2">
        <v>4735</v>
      </c>
      <c r="L95" s="2">
        <v>5</v>
      </c>
      <c r="M95" s="2">
        <v>4</v>
      </c>
      <c r="N95" s="2">
        <v>5</v>
      </c>
      <c r="O95" s="2">
        <v>380</v>
      </c>
      <c r="P95" s="2">
        <v>3</v>
      </c>
      <c r="R95">
        <f t="shared" si="2"/>
        <v>69700</v>
      </c>
      <c r="V95" s="2"/>
    </row>
    <row r="96" spans="1:22">
      <c r="A96" s="5" t="s">
        <v>155</v>
      </c>
      <c r="B96" s="5" t="s">
        <v>156</v>
      </c>
      <c r="C96" s="2">
        <v>1</v>
      </c>
      <c r="D96" t="s">
        <v>184</v>
      </c>
      <c r="E96" s="5" t="s">
        <v>74</v>
      </c>
      <c r="F96" s="2">
        <v>4.5</v>
      </c>
      <c r="G96" s="2">
        <v>4.5</v>
      </c>
      <c r="H96" s="2">
        <v>4.5</v>
      </c>
      <c r="I96" s="2">
        <v>4.7</v>
      </c>
      <c r="J96" s="8">
        <v>67.900000000000006</v>
      </c>
      <c r="K96" s="2">
        <v>1965</v>
      </c>
      <c r="L96" s="2">
        <v>6</v>
      </c>
      <c r="M96" s="2">
        <v>5</v>
      </c>
      <c r="N96" s="2">
        <v>6</v>
      </c>
      <c r="O96" s="2">
        <v>1658</v>
      </c>
      <c r="P96" s="2">
        <v>0</v>
      </c>
      <c r="Q96" s="9" t="s">
        <v>79</v>
      </c>
      <c r="R96">
        <f t="shared" si="2"/>
        <v>67900</v>
      </c>
      <c r="V96" s="2"/>
    </row>
    <row r="97" spans="1:22">
      <c r="A97" s="5" t="s">
        <v>155</v>
      </c>
      <c r="B97" s="5" t="s">
        <v>156</v>
      </c>
      <c r="C97" s="2">
        <v>1</v>
      </c>
      <c r="D97" t="s">
        <v>185</v>
      </c>
      <c r="E97" s="5" t="s">
        <v>101</v>
      </c>
      <c r="F97" s="2">
        <v>4.8</v>
      </c>
      <c r="G97" s="2">
        <v>4.8</v>
      </c>
      <c r="H97" s="2">
        <v>4.7</v>
      </c>
      <c r="I97" s="2">
        <v>4.8</v>
      </c>
      <c r="J97" s="8">
        <v>45.8</v>
      </c>
      <c r="K97" s="2">
        <v>749</v>
      </c>
      <c r="L97" s="2">
        <v>5</v>
      </c>
      <c r="M97" s="2">
        <v>4</v>
      </c>
      <c r="N97" s="2">
        <v>3</v>
      </c>
      <c r="O97" s="2">
        <v>2974</v>
      </c>
      <c r="P97" s="2">
        <v>0</v>
      </c>
      <c r="R97">
        <f t="shared" si="2"/>
        <v>45800</v>
      </c>
      <c r="V97" s="2"/>
    </row>
    <row r="98" spans="1:22">
      <c r="A98" s="5" t="s">
        <v>155</v>
      </c>
      <c r="B98" s="5" t="s">
        <v>156</v>
      </c>
      <c r="C98" s="2">
        <v>1</v>
      </c>
      <c r="D98" t="s">
        <v>186</v>
      </c>
      <c r="E98" s="5" t="s">
        <v>122</v>
      </c>
      <c r="F98" s="2">
        <v>4.5</v>
      </c>
      <c r="G98" s="2">
        <v>4.4000000000000004</v>
      </c>
      <c r="H98" s="2">
        <v>4.8</v>
      </c>
      <c r="I98" s="2">
        <v>4.8</v>
      </c>
      <c r="J98" s="8">
        <v>169.9</v>
      </c>
      <c r="K98" s="2">
        <v>4755</v>
      </c>
      <c r="L98" s="2">
        <v>7</v>
      </c>
      <c r="M98" s="2">
        <v>5</v>
      </c>
      <c r="N98" s="2">
        <v>5</v>
      </c>
      <c r="O98" s="2">
        <v>859</v>
      </c>
      <c r="P98" s="2">
        <v>0</v>
      </c>
      <c r="R98">
        <f t="shared" si="2"/>
        <v>169900</v>
      </c>
      <c r="V98" s="2"/>
    </row>
    <row r="99" spans="1:22">
      <c r="A99" s="5" t="s">
        <v>155</v>
      </c>
      <c r="B99" s="5" t="s">
        <v>187</v>
      </c>
      <c r="C99" s="2">
        <v>1</v>
      </c>
      <c r="D99" t="s">
        <v>188</v>
      </c>
      <c r="E99" s="5" t="s">
        <v>189</v>
      </c>
      <c r="F99" s="2">
        <v>4.7</v>
      </c>
      <c r="G99" s="2">
        <v>4.8</v>
      </c>
      <c r="H99" s="2">
        <v>4.8</v>
      </c>
      <c r="I99" s="2">
        <v>4.8</v>
      </c>
      <c r="J99" s="8">
        <v>26.3</v>
      </c>
      <c r="K99" s="2">
        <v>2488</v>
      </c>
      <c r="L99" s="2">
        <v>4</v>
      </c>
      <c r="M99" s="2">
        <v>4</v>
      </c>
      <c r="N99" s="2">
        <v>2</v>
      </c>
      <c r="O99" s="2">
        <v>464</v>
      </c>
      <c r="P99" s="2">
        <v>0</v>
      </c>
      <c r="R99">
        <f t="shared" si="2"/>
        <v>26300</v>
      </c>
      <c r="V99" s="2"/>
    </row>
    <row r="100" spans="1:22">
      <c r="A100" s="5" t="s">
        <v>155</v>
      </c>
      <c r="B100" s="5" t="s">
        <v>190</v>
      </c>
      <c r="C100" s="2">
        <v>1</v>
      </c>
      <c r="D100" t="s">
        <v>191</v>
      </c>
      <c r="E100" s="5" t="s">
        <v>189</v>
      </c>
      <c r="F100" s="2">
        <v>4.8</v>
      </c>
      <c r="G100" s="2">
        <v>4.8</v>
      </c>
      <c r="H100" s="2">
        <v>4.9000000000000004</v>
      </c>
      <c r="I100" s="2">
        <v>4.8</v>
      </c>
      <c r="J100" s="8">
        <v>15.3</v>
      </c>
      <c r="K100" s="2">
        <v>1007</v>
      </c>
      <c r="L100" s="2">
        <v>5</v>
      </c>
      <c r="M100" s="2">
        <v>2</v>
      </c>
      <c r="N100" s="2">
        <v>1</v>
      </c>
      <c r="O100" s="2">
        <v>1009</v>
      </c>
      <c r="P100" s="2">
        <v>0</v>
      </c>
      <c r="R100">
        <f t="shared" si="2"/>
        <v>15300</v>
      </c>
      <c r="V100" s="2"/>
    </row>
    <row r="101" spans="1:22">
      <c r="A101" s="5" t="s">
        <v>155</v>
      </c>
      <c r="B101" s="5" t="s">
        <v>190</v>
      </c>
      <c r="C101" s="2">
        <v>1</v>
      </c>
      <c r="D101" t="s">
        <v>192</v>
      </c>
      <c r="E101" s="5" t="s">
        <v>91</v>
      </c>
      <c r="F101" s="2">
        <v>4.5999999999999996</v>
      </c>
      <c r="G101" s="2">
        <v>4.5999999999999996</v>
      </c>
      <c r="H101" s="2">
        <v>4.8</v>
      </c>
      <c r="I101" s="2">
        <v>4.7</v>
      </c>
      <c r="J101" s="8">
        <v>26.7</v>
      </c>
      <c r="K101" s="2">
        <v>1692</v>
      </c>
      <c r="L101" s="2">
        <v>7</v>
      </c>
      <c r="M101" s="2">
        <v>5</v>
      </c>
      <c r="N101" s="2">
        <v>7</v>
      </c>
      <c r="O101" s="2">
        <v>584</v>
      </c>
      <c r="P101" s="2">
        <v>0</v>
      </c>
      <c r="R101">
        <f t="shared" si="2"/>
        <v>26700</v>
      </c>
      <c r="V101" s="2"/>
    </row>
    <row r="102" spans="1:22">
      <c r="A102" s="5" t="s">
        <v>193</v>
      </c>
      <c r="B102" s="5" t="s">
        <v>194</v>
      </c>
      <c r="C102" s="2">
        <v>2</v>
      </c>
      <c r="D102" t="s">
        <v>195</v>
      </c>
      <c r="E102" s="5" t="s">
        <v>105</v>
      </c>
      <c r="F102" s="2">
        <v>4.4000000000000004</v>
      </c>
      <c r="G102" s="2">
        <v>4.4000000000000004</v>
      </c>
      <c r="H102" s="2">
        <v>4.7</v>
      </c>
      <c r="I102" s="2">
        <v>4.5999999999999996</v>
      </c>
      <c r="J102" s="8">
        <v>14.8</v>
      </c>
      <c r="K102" s="2">
        <v>293</v>
      </c>
      <c r="L102" s="2">
        <v>3</v>
      </c>
      <c r="M102" s="2">
        <v>2</v>
      </c>
      <c r="N102" s="2">
        <v>2</v>
      </c>
      <c r="O102" s="2">
        <v>1108</v>
      </c>
      <c r="P102" s="2">
        <v>0</v>
      </c>
      <c r="Q102" s="9" t="s">
        <v>79</v>
      </c>
      <c r="R102">
        <f t="shared" si="2"/>
        <v>14800</v>
      </c>
      <c r="V102" s="9"/>
    </row>
    <row r="103" spans="1:22">
      <c r="A103" s="5" t="s">
        <v>193</v>
      </c>
      <c r="B103" s="5" t="s">
        <v>194</v>
      </c>
      <c r="C103" s="2">
        <v>2</v>
      </c>
      <c r="D103" t="s">
        <v>196</v>
      </c>
      <c r="E103" s="5" t="s">
        <v>132</v>
      </c>
      <c r="F103" s="2">
        <v>4.4000000000000004</v>
      </c>
      <c r="G103" s="2">
        <v>4.4000000000000004</v>
      </c>
      <c r="H103" s="2">
        <v>4.5999999999999996</v>
      </c>
      <c r="I103" s="2">
        <v>4.5</v>
      </c>
      <c r="J103" s="8">
        <v>27</v>
      </c>
      <c r="K103" s="2">
        <v>1261</v>
      </c>
      <c r="L103" s="2">
        <v>17</v>
      </c>
      <c r="M103" s="2">
        <v>4</v>
      </c>
      <c r="N103" s="2">
        <v>5</v>
      </c>
      <c r="O103" s="2">
        <v>726</v>
      </c>
      <c r="P103" s="2">
        <v>1</v>
      </c>
      <c r="R103">
        <f t="shared" si="2"/>
        <v>27000</v>
      </c>
      <c r="V103" s="9"/>
    </row>
    <row r="104" spans="1:22">
      <c r="A104" s="5" t="s">
        <v>193</v>
      </c>
      <c r="B104" s="5" t="s">
        <v>194</v>
      </c>
      <c r="C104" s="2">
        <v>1</v>
      </c>
      <c r="D104" t="s">
        <v>197</v>
      </c>
      <c r="E104" s="5" t="s">
        <v>105</v>
      </c>
      <c r="F104" s="2">
        <v>4.7</v>
      </c>
      <c r="G104" s="2">
        <v>4.7</v>
      </c>
      <c r="H104" s="2">
        <v>4.8</v>
      </c>
      <c r="I104" s="2">
        <v>4.8</v>
      </c>
      <c r="J104" s="8">
        <v>52.8</v>
      </c>
      <c r="K104" s="2">
        <v>3131</v>
      </c>
      <c r="L104" s="2">
        <v>11</v>
      </c>
      <c r="M104" s="2">
        <v>4</v>
      </c>
      <c r="N104" s="2">
        <v>7</v>
      </c>
      <c r="O104" s="2">
        <v>542</v>
      </c>
      <c r="P104" s="2">
        <v>3</v>
      </c>
      <c r="R104">
        <f t="shared" si="2"/>
        <v>52800</v>
      </c>
      <c r="V104" s="2"/>
    </row>
    <row r="105" spans="1:22">
      <c r="A105" s="5" t="s">
        <v>193</v>
      </c>
      <c r="B105" s="5" t="s">
        <v>194</v>
      </c>
      <c r="C105" s="2">
        <v>1</v>
      </c>
      <c r="D105" t="s">
        <v>198</v>
      </c>
      <c r="E105" s="5" t="s">
        <v>105</v>
      </c>
      <c r="F105" s="2">
        <v>4.3</v>
      </c>
      <c r="G105" s="2">
        <v>4.3</v>
      </c>
      <c r="H105" s="2">
        <v>4.4000000000000004</v>
      </c>
      <c r="I105" s="2">
        <v>4.3</v>
      </c>
      <c r="J105" s="8">
        <v>41.5</v>
      </c>
      <c r="K105" s="2">
        <v>862</v>
      </c>
      <c r="L105" s="2">
        <v>6</v>
      </c>
      <c r="M105" s="2">
        <v>3</v>
      </c>
      <c r="N105" s="2">
        <v>6</v>
      </c>
      <c r="O105" s="2">
        <v>954</v>
      </c>
      <c r="P105" s="2">
        <v>0</v>
      </c>
      <c r="R105">
        <f t="shared" si="2"/>
        <v>41500</v>
      </c>
      <c r="V105" s="2"/>
    </row>
    <row r="106" spans="1:22">
      <c r="A106" s="5" t="s">
        <v>193</v>
      </c>
      <c r="B106" s="5" t="s">
        <v>194</v>
      </c>
      <c r="C106" s="2">
        <v>1</v>
      </c>
      <c r="D106" t="s">
        <v>199</v>
      </c>
      <c r="E106" s="5" t="s">
        <v>105</v>
      </c>
      <c r="F106" s="2">
        <v>4.5</v>
      </c>
      <c r="G106" s="2">
        <v>4.4000000000000004</v>
      </c>
      <c r="H106" s="2">
        <v>4.8</v>
      </c>
      <c r="I106" s="2">
        <v>4.5999999999999996</v>
      </c>
      <c r="J106" s="8">
        <v>63.8</v>
      </c>
      <c r="K106" s="2">
        <v>3882</v>
      </c>
      <c r="L106" s="2">
        <v>18</v>
      </c>
      <c r="M106" s="2">
        <v>4</v>
      </c>
      <c r="N106" s="2">
        <v>6</v>
      </c>
      <c r="O106" s="2">
        <v>736</v>
      </c>
      <c r="P106" s="2">
        <v>0</v>
      </c>
      <c r="R106">
        <f t="shared" si="2"/>
        <v>63800</v>
      </c>
      <c r="V106" s="2"/>
    </row>
    <row r="107" spans="1:22">
      <c r="A107" s="5" t="s">
        <v>193</v>
      </c>
      <c r="B107" s="5" t="s">
        <v>194</v>
      </c>
      <c r="C107" s="2">
        <v>1</v>
      </c>
      <c r="D107" t="s">
        <v>200</v>
      </c>
      <c r="E107" s="5" t="s">
        <v>78</v>
      </c>
      <c r="F107" s="2">
        <v>4.5</v>
      </c>
      <c r="G107" s="2">
        <v>4.4000000000000004</v>
      </c>
      <c r="H107" s="2">
        <v>4.8</v>
      </c>
      <c r="I107" s="2">
        <v>4.8</v>
      </c>
      <c r="J107" s="8">
        <v>65.599999999999994</v>
      </c>
      <c r="K107" s="2">
        <v>3714</v>
      </c>
      <c r="L107" s="2">
        <v>9</v>
      </c>
      <c r="M107" s="2">
        <v>4</v>
      </c>
      <c r="N107" s="2">
        <v>7</v>
      </c>
      <c r="O107" s="2">
        <v>543</v>
      </c>
      <c r="P107" s="2">
        <v>0</v>
      </c>
      <c r="R107">
        <f t="shared" si="2"/>
        <v>65600</v>
      </c>
      <c r="V107" s="2"/>
    </row>
    <row r="108" spans="1:22">
      <c r="A108" s="5" t="s">
        <v>193</v>
      </c>
      <c r="B108" s="5" t="s">
        <v>194</v>
      </c>
      <c r="C108" s="2">
        <v>1</v>
      </c>
      <c r="D108" t="s">
        <v>201</v>
      </c>
      <c r="E108" s="5" t="s">
        <v>78</v>
      </c>
      <c r="F108" s="2">
        <v>4.5</v>
      </c>
      <c r="G108" s="2">
        <v>4.4000000000000004</v>
      </c>
      <c r="H108" s="2">
        <v>4.7</v>
      </c>
      <c r="I108" s="2">
        <v>4.8</v>
      </c>
      <c r="J108" s="8">
        <v>74.8</v>
      </c>
      <c r="K108" s="2">
        <v>2281</v>
      </c>
      <c r="L108" s="2">
        <v>9</v>
      </c>
      <c r="M108" s="2">
        <v>4</v>
      </c>
      <c r="N108" s="2">
        <v>3</v>
      </c>
      <c r="O108" s="2">
        <v>773</v>
      </c>
      <c r="P108" s="2">
        <v>0</v>
      </c>
      <c r="Q108" s="9" t="s">
        <v>79</v>
      </c>
      <c r="R108">
        <f t="shared" si="2"/>
        <v>74800</v>
      </c>
      <c r="V108" s="2"/>
    </row>
    <row r="109" spans="1:22">
      <c r="A109" s="5" t="s">
        <v>193</v>
      </c>
      <c r="B109" s="5" t="s">
        <v>194</v>
      </c>
      <c r="C109" s="2">
        <v>1</v>
      </c>
      <c r="D109" t="s">
        <v>202</v>
      </c>
      <c r="E109" s="5" t="s">
        <v>132</v>
      </c>
      <c r="F109" s="2">
        <v>4.5999999999999996</v>
      </c>
      <c r="G109" s="2">
        <v>4.4000000000000004</v>
      </c>
      <c r="H109" s="2">
        <v>4.8</v>
      </c>
      <c r="I109" s="2">
        <v>4.7</v>
      </c>
      <c r="J109" s="8">
        <v>39.799999999999997</v>
      </c>
      <c r="K109" s="2">
        <v>3374</v>
      </c>
      <c r="L109" s="2">
        <v>8</v>
      </c>
      <c r="M109" s="2">
        <v>4</v>
      </c>
      <c r="N109" s="2">
        <v>6</v>
      </c>
      <c r="O109" s="2">
        <v>438</v>
      </c>
      <c r="P109" s="2">
        <v>0</v>
      </c>
      <c r="R109">
        <f t="shared" si="2"/>
        <v>39800</v>
      </c>
      <c r="V109" s="2"/>
    </row>
    <row r="110" spans="1:22">
      <c r="A110" s="5" t="s">
        <v>193</v>
      </c>
      <c r="B110" s="5" t="s">
        <v>194</v>
      </c>
      <c r="C110" s="2">
        <v>1</v>
      </c>
      <c r="D110" t="s">
        <v>203</v>
      </c>
      <c r="E110" s="5" t="s">
        <v>105</v>
      </c>
      <c r="F110" s="2">
        <v>4.3</v>
      </c>
      <c r="G110" s="2">
        <v>4.3</v>
      </c>
      <c r="H110" s="2">
        <v>4.4000000000000004</v>
      </c>
      <c r="I110" s="2">
        <v>4.4000000000000004</v>
      </c>
      <c r="J110" s="8">
        <v>28.4</v>
      </c>
      <c r="K110" s="2">
        <v>1862</v>
      </c>
      <c r="L110" s="2">
        <v>6</v>
      </c>
      <c r="M110" s="2">
        <v>4</v>
      </c>
      <c r="N110" s="2">
        <v>5</v>
      </c>
      <c r="O110" s="2">
        <v>496</v>
      </c>
      <c r="P110" s="2">
        <v>0</v>
      </c>
      <c r="Q110" s="9" t="s">
        <v>176</v>
      </c>
      <c r="R110">
        <f t="shared" si="2"/>
        <v>28400</v>
      </c>
      <c r="V110" s="9"/>
    </row>
    <row r="111" spans="1:22">
      <c r="A111" s="5" t="s">
        <v>193</v>
      </c>
      <c r="B111" s="5" t="s">
        <v>194</v>
      </c>
      <c r="C111" s="2">
        <v>1</v>
      </c>
      <c r="D111" t="s">
        <v>204</v>
      </c>
      <c r="E111" s="5" t="s">
        <v>132</v>
      </c>
      <c r="F111" s="2">
        <v>4.7</v>
      </c>
      <c r="G111" s="2">
        <v>4.8</v>
      </c>
      <c r="H111" s="2">
        <v>4.5</v>
      </c>
      <c r="I111" s="2">
        <v>4.7</v>
      </c>
      <c r="J111" s="8">
        <v>27.7</v>
      </c>
      <c r="K111" s="2">
        <v>1365</v>
      </c>
      <c r="L111" s="2">
        <v>7</v>
      </c>
      <c r="M111" s="2">
        <v>5</v>
      </c>
      <c r="N111" s="2">
        <v>7</v>
      </c>
      <c r="O111" s="2">
        <v>540</v>
      </c>
      <c r="P111" s="2">
        <v>3</v>
      </c>
      <c r="R111">
        <f t="shared" si="2"/>
        <v>27700</v>
      </c>
    </row>
    <row r="112" spans="1:22">
      <c r="A112" s="5" t="s">
        <v>193</v>
      </c>
      <c r="B112" s="5" t="s">
        <v>194</v>
      </c>
      <c r="C112" s="2">
        <v>1</v>
      </c>
      <c r="D112" t="s">
        <v>205</v>
      </c>
      <c r="E112" s="5" t="s">
        <v>78</v>
      </c>
      <c r="F112" s="2">
        <v>4.8</v>
      </c>
      <c r="G112" s="2">
        <v>4.8</v>
      </c>
      <c r="H112" s="2">
        <v>4.8</v>
      </c>
      <c r="I112" s="2">
        <v>4.9000000000000004</v>
      </c>
      <c r="J112" s="8">
        <v>54.1</v>
      </c>
      <c r="K112" s="2">
        <v>3301</v>
      </c>
      <c r="L112" s="2">
        <v>11</v>
      </c>
      <c r="M112" s="2">
        <v>5</v>
      </c>
      <c r="N112" s="2">
        <v>7</v>
      </c>
      <c r="O112" s="2">
        <v>701</v>
      </c>
      <c r="P112" s="2">
        <v>0</v>
      </c>
      <c r="R112">
        <f t="shared" si="2"/>
        <v>54100</v>
      </c>
      <c r="V112" s="9"/>
    </row>
    <row r="113" spans="1:22">
      <c r="A113" s="5" t="s">
        <v>193</v>
      </c>
      <c r="B113" s="5" t="s">
        <v>194</v>
      </c>
      <c r="C113" s="2">
        <v>1</v>
      </c>
      <c r="D113" t="s">
        <v>206</v>
      </c>
      <c r="E113" s="5" t="s">
        <v>105</v>
      </c>
      <c r="F113" s="2">
        <v>4.5999999999999996</v>
      </c>
      <c r="G113" s="2">
        <v>4.5999999999999996</v>
      </c>
      <c r="H113" s="2">
        <v>4.8</v>
      </c>
      <c r="I113" s="2">
        <v>4.5</v>
      </c>
      <c r="J113" s="8">
        <v>18</v>
      </c>
      <c r="K113" s="2">
        <v>2693</v>
      </c>
      <c r="L113" s="2">
        <v>12</v>
      </c>
      <c r="M113" s="2">
        <v>3</v>
      </c>
      <c r="N113" s="2">
        <v>1</v>
      </c>
      <c r="O113" s="2">
        <v>338</v>
      </c>
      <c r="P113" s="2">
        <v>4</v>
      </c>
      <c r="R113">
        <f t="shared" si="2"/>
        <v>18000</v>
      </c>
    </row>
    <row r="114" spans="1:22">
      <c r="A114" s="5" t="s">
        <v>193</v>
      </c>
      <c r="B114" s="5" t="s">
        <v>194</v>
      </c>
      <c r="C114" s="2">
        <v>1</v>
      </c>
      <c r="D114" t="s">
        <v>207</v>
      </c>
      <c r="E114" s="5" t="s">
        <v>122</v>
      </c>
      <c r="F114" s="2">
        <v>4.5999999999999996</v>
      </c>
      <c r="G114" s="2">
        <v>4.8</v>
      </c>
      <c r="H114" s="2">
        <v>4.8</v>
      </c>
      <c r="I114" s="2">
        <v>4.8</v>
      </c>
      <c r="J114" s="8">
        <v>58</v>
      </c>
      <c r="K114" s="2">
        <v>2692</v>
      </c>
      <c r="L114" s="2">
        <v>6</v>
      </c>
      <c r="M114" s="2">
        <v>4</v>
      </c>
      <c r="N114" s="2">
        <v>3</v>
      </c>
      <c r="O114" s="2">
        <v>1000</v>
      </c>
      <c r="P114" s="2">
        <v>0</v>
      </c>
      <c r="R114">
        <f t="shared" si="2"/>
        <v>58000</v>
      </c>
    </row>
    <row r="115" spans="1:22">
      <c r="A115" s="5" t="s">
        <v>193</v>
      </c>
      <c r="B115" s="5" t="s">
        <v>194</v>
      </c>
      <c r="C115" s="2">
        <v>1</v>
      </c>
      <c r="D115" t="s">
        <v>208</v>
      </c>
      <c r="E115" s="5" t="s">
        <v>66</v>
      </c>
      <c r="F115" s="2">
        <v>4.8</v>
      </c>
      <c r="G115" s="2">
        <v>4.8</v>
      </c>
      <c r="H115" s="2">
        <v>4.8</v>
      </c>
      <c r="I115" s="2">
        <v>4.8</v>
      </c>
      <c r="J115" s="8">
        <v>13.4</v>
      </c>
      <c r="K115" s="2">
        <v>298</v>
      </c>
      <c r="L115" s="2">
        <v>3</v>
      </c>
      <c r="M115" s="2">
        <v>2</v>
      </c>
      <c r="N115" s="2">
        <v>2</v>
      </c>
      <c r="O115" s="2">
        <v>800</v>
      </c>
      <c r="P115" s="2">
        <v>0</v>
      </c>
      <c r="R115">
        <f t="shared" si="2"/>
        <v>13400</v>
      </c>
    </row>
    <row r="116" spans="1:22">
      <c r="A116" s="5" t="s">
        <v>193</v>
      </c>
      <c r="B116" s="5" t="s">
        <v>194</v>
      </c>
      <c r="C116" s="2">
        <v>1</v>
      </c>
      <c r="D116" t="s">
        <v>209</v>
      </c>
      <c r="E116" s="5" t="s">
        <v>86</v>
      </c>
      <c r="F116" s="2">
        <v>4.8</v>
      </c>
      <c r="G116" s="2">
        <v>4.8</v>
      </c>
      <c r="H116" s="2">
        <v>4.8</v>
      </c>
      <c r="I116" s="2">
        <v>4.9000000000000004</v>
      </c>
      <c r="J116" s="8">
        <v>13.9</v>
      </c>
      <c r="K116" s="2">
        <v>647</v>
      </c>
      <c r="L116" s="2">
        <v>3</v>
      </c>
      <c r="M116" s="2">
        <v>1</v>
      </c>
      <c r="N116" s="2">
        <v>1</v>
      </c>
      <c r="O116" s="2">
        <v>731</v>
      </c>
      <c r="P116" s="2">
        <v>0</v>
      </c>
      <c r="R116">
        <f t="shared" si="2"/>
        <v>13900</v>
      </c>
    </row>
    <row r="117" spans="1:22">
      <c r="A117" s="5" t="s">
        <v>193</v>
      </c>
      <c r="B117" s="5" t="s">
        <v>194</v>
      </c>
      <c r="C117" s="2">
        <v>1</v>
      </c>
      <c r="D117" t="s">
        <v>210</v>
      </c>
      <c r="E117" s="5" t="s">
        <v>68</v>
      </c>
      <c r="F117" s="2">
        <v>4.7</v>
      </c>
      <c r="G117" s="2">
        <v>4.7</v>
      </c>
      <c r="H117" s="2">
        <v>4.9000000000000004</v>
      </c>
      <c r="I117" s="2">
        <v>4.8</v>
      </c>
      <c r="J117" s="8">
        <v>23.6</v>
      </c>
      <c r="K117" s="2">
        <v>1327</v>
      </c>
      <c r="L117" s="2">
        <v>3</v>
      </c>
      <c r="M117" s="2">
        <v>1</v>
      </c>
      <c r="N117" s="2">
        <v>1</v>
      </c>
      <c r="O117" s="2">
        <v>1105</v>
      </c>
      <c r="P117" s="2">
        <v>0</v>
      </c>
      <c r="R117">
        <f t="shared" si="2"/>
        <v>23600</v>
      </c>
    </row>
    <row r="118" spans="1:22">
      <c r="A118" s="5" t="s">
        <v>193</v>
      </c>
      <c r="B118" s="5" t="s">
        <v>194</v>
      </c>
      <c r="C118" s="2">
        <v>1</v>
      </c>
      <c r="D118" t="s">
        <v>211</v>
      </c>
      <c r="E118" s="5" t="s">
        <v>122</v>
      </c>
      <c r="F118" s="2">
        <v>4.7</v>
      </c>
      <c r="G118" s="2">
        <v>4.7</v>
      </c>
      <c r="H118" s="2">
        <v>4.8</v>
      </c>
      <c r="I118" s="2">
        <v>4.8</v>
      </c>
      <c r="J118" s="8">
        <v>58.8</v>
      </c>
      <c r="K118" s="2">
        <v>1833</v>
      </c>
      <c r="L118" s="2">
        <v>5</v>
      </c>
      <c r="M118" s="2">
        <v>4</v>
      </c>
      <c r="N118" s="2">
        <v>3</v>
      </c>
      <c r="O118" s="2">
        <v>783</v>
      </c>
      <c r="P118" s="2">
        <v>0</v>
      </c>
      <c r="R118">
        <f t="shared" si="2"/>
        <v>58800</v>
      </c>
      <c r="V118" s="9"/>
    </row>
    <row r="119" spans="1:22">
      <c r="A119" s="5" t="s">
        <v>193</v>
      </c>
      <c r="B119" s="5" t="s">
        <v>194</v>
      </c>
      <c r="C119" s="2">
        <v>1</v>
      </c>
      <c r="D119" t="s">
        <v>212</v>
      </c>
      <c r="E119" s="5" t="s">
        <v>78</v>
      </c>
      <c r="F119" s="2">
        <v>4.3</v>
      </c>
      <c r="G119" s="2">
        <v>4.3</v>
      </c>
      <c r="H119" s="2">
        <v>4.5</v>
      </c>
      <c r="I119" s="2">
        <v>4.4000000000000004</v>
      </c>
      <c r="J119" s="8">
        <v>40.299999999999997</v>
      </c>
      <c r="K119" s="2">
        <v>1410</v>
      </c>
      <c r="L119" s="2">
        <v>5</v>
      </c>
      <c r="M119" s="2">
        <v>4</v>
      </c>
      <c r="N119" s="2">
        <v>2</v>
      </c>
      <c r="O119" s="2">
        <v>698</v>
      </c>
      <c r="P119" s="2">
        <v>0</v>
      </c>
      <c r="R119">
        <f t="shared" si="2"/>
        <v>40300</v>
      </c>
    </row>
    <row r="120" spans="1:22">
      <c r="A120" s="5" t="s">
        <v>193</v>
      </c>
      <c r="B120" s="5" t="s">
        <v>194</v>
      </c>
      <c r="C120" s="2">
        <v>1</v>
      </c>
      <c r="D120" t="s">
        <v>213</v>
      </c>
      <c r="E120" s="5" t="s">
        <v>105</v>
      </c>
      <c r="F120" s="2">
        <v>4.5999999999999996</v>
      </c>
      <c r="G120" s="2">
        <v>4.5</v>
      </c>
      <c r="H120" s="2">
        <v>4.8</v>
      </c>
      <c r="I120" s="2">
        <v>4.8</v>
      </c>
      <c r="J120" s="8">
        <v>18.399999999999999</v>
      </c>
      <c r="K120" s="2">
        <v>945</v>
      </c>
      <c r="L120" s="2">
        <v>4</v>
      </c>
      <c r="M120" s="2">
        <v>3</v>
      </c>
      <c r="N120" s="2">
        <v>2</v>
      </c>
      <c r="O120" s="2">
        <v>903</v>
      </c>
      <c r="P120" s="2">
        <v>0</v>
      </c>
      <c r="R120">
        <f t="shared" si="2"/>
        <v>18400</v>
      </c>
    </row>
    <row r="121" spans="1:22">
      <c r="A121" s="5" t="s">
        <v>193</v>
      </c>
      <c r="B121" s="5" t="s">
        <v>194</v>
      </c>
      <c r="C121" s="2">
        <v>1</v>
      </c>
      <c r="D121" t="s">
        <v>214</v>
      </c>
      <c r="E121" s="5" t="s">
        <v>122</v>
      </c>
      <c r="F121" s="2">
        <v>4.4000000000000004</v>
      </c>
      <c r="G121" s="2">
        <v>4.3</v>
      </c>
      <c r="H121" s="2">
        <v>4.7</v>
      </c>
      <c r="I121" s="2">
        <v>4.5999999999999996</v>
      </c>
      <c r="J121" s="8">
        <v>26.8</v>
      </c>
      <c r="K121" s="2">
        <v>896</v>
      </c>
      <c r="L121" s="2">
        <v>6</v>
      </c>
      <c r="M121" s="2">
        <v>4</v>
      </c>
      <c r="N121" s="2">
        <v>4</v>
      </c>
      <c r="O121" s="2">
        <v>792</v>
      </c>
      <c r="P121" s="2">
        <v>0</v>
      </c>
      <c r="Q121" s="9" t="s">
        <v>176</v>
      </c>
      <c r="R121">
        <f t="shared" si="2"/>
        <v>26800</v>
      </c>
    </row>
    <row r="122" spans="1:22">
      <c r="A122" s="5" t="s">
        <v>193</v>
      </c>
      <c r="B122" s="5" t="s">
        <v>215</v>
      </c>
      <c r="C122" s="2">
        <v>1</v>
      </c>
      <c r="D122" t="s">
        <v>216</v>
      </c>
      <c r="E122" s="5" t="s">
        <v>132</v>
      </c>
      <c r="F122" s="2">
        <v>4.8</v>
      </c>
      <c r="G122" s="2">
        <v>4.8</v>
      </c>
      <c r="H122" s="2">
        <v>4.9000000000000004</v>
      </c>
      <c r="I122" s="2">
        <v>4.9000000000000004</v>
      </c>
      <c r="J122" s="8">
        <v>27.1</v>
      </c>
      <c r="K122" s="2">
        <v>1325</v>
      </c>
      <c r="L122" s="2">
        <v>6</v>
      </c>
      <c r="M122" s="2">
        <v>5</v>
      </c>
      <c r="N122" s="2">
        <v>5</v>
      </c>
      <c r="O122" s="2">
        <v>734</v>
      </c>
      <c r="P122" s="2">
        <v>0</v>
      </c>
      <c r="R122">
        <f t="shared" si="2"/>
        <v>27100</v>
      </c>
    </row>
    <row r="123" spans="1:22">
      <c r="A123" s="5" t="s">
        <v>193</v>
      </c>
      <c r="B123" s="5" t="s">
        <v>215</v>
      </c>
      <c r="C123" s="2">
        <v>1</v>
      </c>
      <c r="D123" t="s">
        <v>217</v>
      </c>
      <c r="E123" s="5" t="s">
        <v>78</v>
      </c>
      <c r="F123" s="2">
        <v>4.7</v>
      </c>
      <c r="G123" s="2">
        <v>4.7</v>
      </c>
      <c r="H123" s="2">
        <v>4.8</v>
      </c>
      <c r="I123" s="2">
        <v>4.8</v>
      </c>
      <c r="J123" s="8">
        <v>27.2</v>
      </c>
      <c r="K123" s="2">
        <v>2560</v>
      </c>
      <c r="L123" s="2">
        <v>7</v>
      </c>
      <c r="M123" s="2">
        <v>5</v>
      </c>
      <c r="N123" s="2">
        <v>4</v>
      </c>
      <c r="O123" s="2">
        <v>696</v>
      </c>
      <c r="P123" s="2">
        <v>0</v>
      </c>
      <c r="R123">
        <f t="shared" si="2"/>
        <v>27200</v>
      </c>
    </row>
    <row r="124" spans="1:22">
      <c r="A124" s="5" t="s">
        <v>193</v>
      </c>
      <c r="B124" s="5" t="s">
        <v>215</v>
      </c>
      <c r="C124" s="2">
        <v>1</v>
      </c>
      <c r="D124" t="s">
        <v>218</v>
      </c>
      <c r="E124" s="5" t="s">
        <v>72</v>
      </c>
      <c r="F124" s="2">
        <v>4.7</v>
      </c>
      <c r="G124" s="2">
        <v>4.5999999999999996</v>
      </c>
      <c r="H124" s="2">
        <v>4.8</v>
      </c>
      <c r="I124" s="2">
        <v>4.8</v>
      </c>
      <c r="J124" s="8">
        <v>28.7</v>
      </c>
      <c r="K124" s="2">
        <v>2347</v>
      </c>
      <c r="L124" s="2">
        <v>8</v>
      </c>
      <c r="M124" s="2">
        <v>4</v>
      </c>
      <c r="N124" s="2">
        <v>6</v>
      </c>
      <c r="O124" s="2">
        <v>692</v>
      </c>
      <c r="P124" s="2">
        <v>0</v>
      </c>
      <c r="R124">
        <f t="shared" si="2"/>
        <v>28700</v>
      </c>
      <c r="V124" s="9"/>
    </row>
    <row r="125" spans="1:22">
      <c r="A125" s="5" t="s">
        <v>193</v>
      </c>
      <c r="B125" s="5" t="s">
        <v>215</v>
      </c>
      <c r="C125" s="2">
        <v>1</v>
      </c>
      <c r="D125" t="s">
        <v>219</v>
      </c>
      <c r="E125" s="5" t="s">
        <v>105</v>
      </c>
      <c r="F125" s="2">
        <v>4.5999999999999996</v>
      </c>
      <c r="G125" s="2">
        <v>4.5</v>
      </c>
      <c r="H125" s="2">
        <v>4.8</v>
      </c>
      <c r="I125" s="2">
        <v>4.8</v>
      </c>
      <c r="J125" s="8">
        <v>28.6</v>
      </c>
      <c r="K125" s="2">
        <v>1116</v>
      </c>
      <c r="L125" s="2">
        <v>12</v>
      </c>
      <c r="M125" s="2">
        <v>4</v>
      </c>
      <c r="N125" s="2">
        <v>7</v>
      </c>
      <c r="O125" s="2">
        <v>950</v>
      </c>
      <c r="P125" s="2">
        <v>0</v>
      </c>
      <c r="R125">
        <f t="shared" si="2"/>
        <v>28600</v>
      </c>
    </row>
    <row r="126" spans="1:22">
      <c r="A126" s="5" t="s">
        <v>193</v>
      </c>
      <c r="B126" s="5" t="s">
        <v>215</v>
      </c>
      <c r="C126" s="2">
        <v>1</v>
      </c>
      <c r="D126" t="s">
        <v>220</v>
      </c>
      <c r="E126" s="5" t="s">
        <v>105</v>
      </c>
      <c r="F126" s="2">
        <v>4.5999999999999996</v>
      </c>
      <c r="G126" s="2">
        <v>4.5</v>
      </c>
      <c r="H126" s="2">
        <v>4.8</v>
      </c>
      <c r="I126" s="2">
        <v>4.8</v>
      </c>
      <c r="J126" s="8">
        <v>15.4</v>
      </c>
      <c r="K126" s="2">
        <v>1031</v>
      </c>
      <c r="L126" s="2">
        <v>3</v>
      </c>
      <c r="M126" s="2">
        <v>2</v>
      </c>
      <c r="N126" s="2">
        <v>2</v>
      </c>
      <c r="O126" s="2">
        <v>256</v>
      </c>
      <c r="P126" s="2">
        <v>2</v>
      </c>
      <c r="R126">
        <f t="shared" si="2"/>
        <v>15400</v>
      </c>
      <c r="V126" s="9"/>
    </row>
    <row r="127" spans="1:22">
      <c r="A127" s="5" t="s">
        <v>193</v>
      </c>
      <c r="B127" s="5" t="s">
        <v>221</v>
      </c>
      <c r="C127" s="2">
        <v>1</v>
      </c>
      <c r="D127" t="s">
        <v>222</v>
      </c>
      <c r="E127" s="5" t="s">
        <v>149</v>
      </c>
      <c r="F127" s="2">
        <v>4.7</v>
      </c>
      <c r="G127" s="2">
        <v>4.7</v>
      </c>
      <c r="H127" s="2">
        <v>4.8</v>
      </c>
      <c r="I127" s="2">
        <v>4.8</v>
      </c>
      <c r="J127" s="8">
        <v>32.299999999999997</v>
      </c>
      <c r="K127" s="2">
        <v>2936</v>
      </c>
      <c r="L127" s="2">
        <v>13</v>
      </c>
      <c r="M127" s="2">
        <v>4</v>
      </c>
      <c r="N127" s="2">
        <v>6</v>
      </c>
      <c r="O127" s="2">
        <v>490</v>
      </c>
      <c r="P127" s="2">
        <v>0</v>
      </c>
      <c r="R127">
        <f t="shared" si="2"/>
        <v>32299.999999999996</v>
      </c>
    </row>
    <row r="128" spans="1:22">
      <c r="A128" s="5" t="s">
        <v>193</v>
      </c>
      <c r="B128" s="5" t="s">
        <v>221</v>
      </c>
      <c r="C128" s="2">
        <v>1</v>
      </c>
      <c r="D128" t="s">
        <v>223</v>
      </c>
      <c r="E128" s="5" t="s">
        <v>149</v>
      </c>
      <c r="F128" s="2">
        <v>4.7</v>
      </c>
      <c r="G128" s="2">
        <v>4.7</v>
      </c>
      <c r="H128" s="2">
        <v>4.8</v>
      </c>
      <c r="I128" s="2">
        <v>4.7</v>
      </c>
      <c r="J128" s="8">
        <v>7.25</v>
      </c>
      <c r="K128" s="2">
        <v>477</v>
      </c>
      <c r="L128" s="2">
        <v>3</v>
      </c>
      <c r="M128" s="2">
        <v>2</v>
      </c>
      <c r="N128" s="2">
        <v>1</v>
      </c>
      <c r="O128" s="2">
        <v>379</v>
      </c>
      <c r="P128" s="2">
        <v>0</v>
      </c>
      <c r="R128">
        <f t="shared" si="2"/>
        <v>7250</v>
      </c>
    </row>
    <row r="129" spans="1:22">
      <c r="A129" s="5" t="s">
        <v>193</v>
      </c>
      <c r="B129" s="5" t="s">
        <v>221</v>
      </c>
      <c r="C129" s="2">
        <v>1</v>
      </c>
      <c r="D129" t="s">
        <v>224</v>
      </c>
      <c r="E129" s="5" t="s">
        <v>149</v>
      </c>
      <c r="F129" s="2">
        <v>4.7</v>
      </c>
      <c r="G129" s="2">
        <v>4.5999999999999996</v>
      </c>
      <c r="H129" s="2">
        <v>4.8</v>
      </c>
      <c r="I129" s="2">
        <v>4.8</v>
      </c>
      <c r="J129" s="8">
        <v>13.8</v>
      </c>
      <c r="K129" s="2">
        <v>2272</v>
      </c>
      <c r="L129" s="2">
        <v>6</v>
      </c>
      <c r="M129" s="2">
        <v>4</v>
      </c>
      <c r="N129" s="2">
        <v>2</v>
      </c>
      <c r="O129" s="2">
        <v>283</v>
      </c>
      <c r="P129" s="2">
        <v>0</v>
      </c>
      <c r="Q129" s="9" t="s">
        <v>176</v>
      </c>
      <c r="R129">
        <f t="shared" si="2"/>
        <v>13800</v>
      </c>
    </row>
    <row r="130" spans="1:22">
      <c r="A130" s="5" t="s">
        <v>193</v>
      </c>
      <c r="B130" s="5" t="s">
        <v>225</v>
      </c>
      <c r="C130" s="2">
        <v>1</v>
      </c>
      <c r="D130" t="s">
        <v>226</v>
      </c>
      <c r="E130" s="5" t="s">
        <v>81</v>
      </c>
      <c r="F130" s="2">
        <v>4.8</v>
      </c>
      <c r="G130" s="2">
        <v>4.9000000000000004</v>
      </c>
      <c r="H130" s="2">
        <v>4.9000000000000004</v>
      </c>
      <c r="I130" s="2">
        <v>4.9000000000000004</v>
      </c>
      <c r="J130" s="8">
        <v>16.399999999999999</v>
      </c>
      <c r="K130" s="2">
        <v>649</v>
      </c>
      <c r="L130" s="2">
        <v>2</v>
      </c>
      <c r="M130" s="2">
        <v>1</v>
      </c>
      <c r="N130" s="2">
        <v>1</v>
      </c>
      <c r="O130" s="2">
        <v>578</v>
      </c>
      <c r="P130" s="2">
        <v>1</v>
      </c>
      <c r="R130">
        <f t="shared" si="2"/>
        <v>16400</v>
      </c>
    </row>
    <row r="131" spans="1:22">
      <c r="A131" s="5" t="s">
        <v>193</v>
      </c>
      <c r="B131" s="5" t="s">
        <v>225</v>
      </c>
      <c r="C131" s="2">
        <v>1</v>
      </c>
      <c r="D131" t="s">
        <v>227</v>
      </c>
      <c r="E131" s="5" t="s">
        <v>78</v>
      </c>
      <c r="F131" s="2">
        <v>4.7</v>
      </c>
      <c r="G131" s="2">
        <v>4.5999999999999996</v>
      </c>
      <c r="H131" s="2">
        <v>4.8</v>
      </c>
      <c r="I131" s="2">
        <v>4.8</v>
      </c>
      <c r="J131" s="8">
        <v>54.1</v>
      </c>
      <c r="K131" s="2">
        <v>3045</v>
      </c>
      <c r="L131" s="2">
        <v>7</v>
      </c>
      <c r="M131" s="2">
        <v>5</v>
      </c>
      <c r="N131" s="2">
        <v>7</v>
      </c>
      <c r="O131" s="2">
        <v>550</v>
      </c>
      <c r="P131" s="2">
        <v>0</v>
      </c>
      <c r="R131">
        <f t="shared" si="2"/>
        <v>54100</v>
      </c>
    </row>
    <row r="132" spans="1:22">
      <c r="A132" s="5" t="s">
        <v>193</v>
      </c>
      <c r="B132" s="5" t="s">
        <v>225</v>
      </c>
      <c r="C132" s="2">
        <v>1</v>
      </c>
      <c r="D132" t="s">
        <v>228</v>
      </c>
      <c r="E132" s="5" t="s">
        <v>229</v>
      </c>
      <c r="F132" s="2">
        <v>4.5</v>
      </c>
      <c r="G132" s="2">
        <v>4.4000000000000004</v>
      </c>
      <c r="H132" s="2">
        <v>4.7</v>
      </c>
      <c r="I132" s="2">
        <v>4.7</v>
      </c>
      <c r="J132" s="8">
        <v>64.3</v>
      </c>
      <c r="K132" s="2">
        <v>2863</v>
      </c>
      <c r="L132" s="2">
        <v>5</v>
      </c>
      <c r="M132" s="2">
        <v>3</v>
      </c>
      <c r="N132" s="2">
        <v>2</v>
      </c>
      <c r="O132" s="2">
        <v>379</v>
      </c>
      <c r="P132" s="2">
        <v>0</v>
      </c>
      <c r="R132">
        <f t="shared" si="2"/>
        <v>64300</v>
      </c>
    </row>
    <row r="133" spans="1:22">
      <c r="A133" s="5" t="s">
        <v>193</v>
      </c>
      <c r="B133" s="5" t="s">
        <v>225</v>
      </c>
      <c r="C133" s="2">
        <v>1</v>
      </c>
      <c r="D133" t="s">
        <v>230</v>
      </c>
      <c r="E133" s="5" t="s">
        <v>91</v>
      </c>
      <c r="F133" s="2">
        <v>4.8</v>
      </c>
      <c r="G133" s="2">
        <v>4.8</v>
      </c>
      <c r="H133" s="2">
        <v>4.9000000000000004</v>
      </c>
      <c r="I133" s="2">
        <v>4.8</v>
      </c>
      <c r="J133" s="8">
        <v>14.4</v>
      </c>
      <c r="K133" s="2">
        <v>1193</v>
      </c>
      <c r="L133" s="2">
        <v>4</v>
      </c>
      <c r="M133" s="2">
        <v>3</v>
      </c>
      <c r="N133" s="2">
        <v>3</v>
      </c>
      <c r="O133" s="2">
        <v>443</v>
      </c>
      <c r="P133" s="2">
        <v>0</v>
      </c>
      <c r="R133">
        <f t="shared" si="2"/>
        <v>14400</v>
      </c>
    </row>
    <row r="134" spans="1:22">
      <c r="A134" s="5" t="s">
        <v>193</v>
      </c>
      <c r="B134" s="5" t="s">
        <v>225</v>
      </c>
      <c r="C134" s="2">
        <v>1</v>
      </c>
      <c r="D134" t="s">
        <v>163</v>
      </c>
      <c r="E134" s="5" t="s">
        <v>91</v>
      </c>
      <c r="F134" s="2">
        <v>4.4000000000000004</v>
      </c>
      <c r="G134" s="2">
        <v>4.4000000000000004</v>
      </c>
      <c r="H134" s="2">
        <v>4.5999999999999996</v>
      </c>
      <c r="I134" s="2">
        <v>4.5</v>
      </c>
      <c r="J134" s="8">
        <v>26.9</v>
      </c>
      <c r="K134" s="2">
        <v>3785</v>
      </c>
      <c r="L134" s="2">
        <v>5</v>
      </c>
      <c r="M134" s="2">
        <v>4</v>
      </c>
      <c r="N134" s="2">
        <v>4</v>
      </c>
      <c r="O134" s="2">
        <v>210</v>
      </c>
      <c r="P134" s="2">
        <v>0</v>
      </c>
      <c r="R134">
        <f t="shared" si="2"/>
        <v>26900</v>
      </c>
    </row>
    <row r="135" spans="1:22">
      <c r="A135" s="5" t="s">
        <v>193</v>
      </c>
      <c r="B135" s="5" t="s">
        <v>225</v>
      </c>
      <c r="C135" s="2">
        <v>1</v>
      </c>
      <c r="D135" t="s">
        <v>231</v>
      </c>
      <c r="E135" s="5" t="s">
        <v>119</v>
      </c>
      <c r="F135" s="2">
        <v>4.5</v>
      </c>
      <c r="G135" s="2">
        <v>4.5</v>
      </c>
      <c r="H135" s="2">
        <v>4.7</v>
      </c>
      <c r="I135" s="2">
        <v>4.5999999999999996</v>
      </c>
      <c r="J135" s="8">
        <v>6.15</v>
      </c>
      <c r="K135" s="2">
        <v>996</v>
      </c>
      <c r="L135" s="2">
        <v>3</v>
      </c>
      <c r="M135" s="2">
        <v>1</v>
      </c>
      <c r="N135" s="2">
        <v>2</v>
      </c>
      <c r="O135" s="2">
        <v>504</v>
      </c>
      <c r="P135" s="2">
        <v>1</v>
      </c>
      <c r="R135">
        <f t="shared" si="2"/>
        <v>6150</v>
      </c>
    </row>
    <row r="136" spans="1:22">
      <c r="A136" s="5" t="s">
        <v>232</v>
      </c>
      <c r="B136" s="5" t="s">
        <v>233</v>
      </c>
      <c r="C136" s="2">
        <v>1</v>
      </c>
      <c r="D136" t="s">
        <v>234</v>
      </c>
      <c r="E136" s="5" t="s">
        <v>235</v>
      </c>
      <c r="F136" s="2">
        <v>4.5999999999999996</v>
      </c>
      <c r="G136" s="2">
        <v>4.4000000000000004</v>
      </c>
      <c r="H136" s="2">
        <v>4.8</v>
      </c>
      <c r="I136" s="2">
        <v>4.5999999999999996</v>
      </c>
      <c r="J136" s="8">
        <v>49</v>
      </c>
      <c r="K136" s="2">
        <v>3134</v>
      </c>
      <c r="L136" s="2">
        <v>6</v>
      </c>
      <c r="M136" s="2">
        <v>5</v>
      </c>
      <c r="N136" s="2">
        <v>2</v>
      </c>
      <c r="O136" s="2">
        <v>367</v>
      </c>
      <c r="P136" s="2">
        <v>0</v>
      </c>
      <c r="R136">
        <f t="shared" si="2"/>
        <v>49000</v>
      </c>
    </row>
    <row r="137" spans="1:22">
      <c r="A137" s="5" t="s">
        <v>232</v>
      </c>
      <c r="B137" s="5" t="s">
        <v>233</v>
      </c>
      <c r="C137" s="2">
        <v>1</v>
      </c>
      <c r="D137" t="s">
        <v>236</v>
      </c>
      <c r="E137" s="5" t="s">
        <v>235</v>
      </c>
      <c r="F137" s="2">
        <v>4.8</v>
      </c>
      <c r="G137" s="2">
        <v>4.8</v>
      </c>
      <c r="H137" s="2">
        <v>4.8</v>
      </c>
      <c r="I137" s="2">
        <v>4.9000000000000004</v>
      </c>
      <c r="J137" s="8">
        <v>15.4</v>
      </c>
      <c r="K137" s="2">
        <v>1005</v>
      </c>
      <c r="L137" s="2">
        <v>12</v>
      </c>
      <c r="M137" s="2">
        <v>4</v>
      </c>
      <c r="N137" s="2">
        <v>2</v>
      </c>
      <c r="O137" s="2">
        <v>366</v>
      </c>
      <c r="P137" s="2">
        <v>6</v>
      </c>
      <c r="R137">
        <f t="shared" si="2"/>
        <v>15400</v>
      </c>
      <c r="V137" s="9"/>
    </row>
    <row r="138" spans="1:22">
      <c r="A138" s="5" t="s">
        <v>232</v>
      </c>
      <c r="B138" s="5" t="s">
        <v>233</v>
      </c>
      <c r="C138" s="2">
        <v>1</v>
      </c>
      <c r="D138" t="s">
        <v>237</v>
      </c>
      <c r="E138" s="5" t="s">
        <v>235</v>
      </c>
      <c r="F138" s="2">
        <v>4.8</v>
      </c>
      <c r="G138" s="2">
        <v>4.8</v>
      </c>
      <c r="H138" s="2">
        <v>4.9000000000000004</v>
      </c>
      <c r="I138" s="2">
        <v>4.9000000000000004</v>
      </c>
      <c r="J138" s="8">
        <v>10.4</v>
      </c>
      <c r="K138" s="2">
        <v>1436</v>
      </c>
      <c r="L138" s="2">
        <v>3</v>
      </c>
      <c r="M138" s="2">
        <v>2</v>
      </c>
      <c r="N138" s="2">
        <v>1</v>
      </c>
      <c r="O138" s="2">
        <v>408</v>
      </c>
      <c r="P138" s="2">
        <v>0</v>
      </c>
      <c r="R138">
        <f t="shared" si="2"/>
        <v>10400</v>
      </c>
    </row>
    <row r="139" spans="1:22">
      <c r="A139" s="5" t="s">
        <v>232</v>
      </c>
      <c r="B139" s="5" t="s">
        <v>233</v>
      </c>
      <c r="C139" s="2">
        <v>1</v>
      </c>
      <c r="D139" t="s">
        <v>238</v>
      </c>
      <c r="E139" s="5" t="s">
        <v>235</v>
      </c>
      <c r="F139" s="2">
        <v>4.5</v>
      </c>
      <c r="G139" s="2">
        <v>4.5</v>
      </c>
      <c r="H139" s="2">
        <v>4.7</v>
      </c>
      <c r="I139" s="2">
        <v>4.7</v>
      </c>
      <c r="J139" s="8">
        <v>8.6999999999999993</v>
      </c>
      <c r="K139" s="2">
        <v>601</v>
      </c>
      <c r="L139" s="2">
        <v>3</v>
      </c>
      <c r="M139" s="2">
        <v>1</v>
      </c>
      <c r="N139" s="2">
        <v>2</v>
      </c>
      <c r="O139" s="2">
        <v>440</v>
      </c>
      <c r="P139" s="2">
        <v>0</v>
      </c>
      <c r="R139">
        <f t="shared" si="2"/>
        <v>8700</v>
      </c>
    </row>
    <row r="140" spans="1:22">
      <c r="A140" s="5" t="s">
        <v>232</v>
      </c>
      <c r="B140" s="5" t="s">
        <v>239</v>
      </c>
      <c r="C140" s="2">
        <v>1</v>
      </c>
      <c r="D140" t="s">
        <v>240</v>
      </c>
      <c r="E140" s="5" t="s">
        <v>241</v>
      </c>
      <c r="F140" s="2">
        <v>4.5999999999999996</v>
      </c>
      <c r="G140" s="2">
        <v>4.5</v>
      </c>
      <c r="H140" s="2">
        <v>4.8</v>
      </c>
      <c r="I140" s="2">
        <v>4.5999999999999996</v>
      </c>
      <c r="J140" s="8">
        <v>46</v>
      </c>
      <c r="K140" s="2">
        <v>2742</v>
      </c>
      <c r="L140" s="2">
        <v>13</v>
      </c>
      <c r="M140" s="2">
        <v>4</v>
      </c>
      <c r="N140" s="2">
        <v>7</v>
      </c>
      <c r="O140" s="2">
        <v>379</v>
      </c>
      <c r="P140" s="2">
        <v>0</v>
      </c>
      <c r="R140">
        <f t="shared" ref="R140:R203" si="3">J140*1000</f>
        <v>46000</v>
      </c>
    </row>
    <row r="141" spans="1:22">
      <c r="A141" s="5" t="s">
        <v>232</v>
      </c>
      <c r="B141" s="5" t="s">
        <v>239</v>
      </c>
      <c r="C141" s="2">
        <v>1</v>
      </c>
      <c r="D141" t="s">
        <v>242</v>
      </c>
      <c r="E141" s="5" t="s">
        <v>122</v>
      </c>
      <c r="F141" s="2">
        <v>4.8</v>
      </c>
      <c r="G141" s="2">
        <v>4.8</v>
      </c>
      <c r="H141" s="2">
        <v>4.9000000000000004</v>
      </c>
      <c r="I141" s="2">
        <v>4.8</v>
      </c>
      <c r="J141" s="8">
        <v>9.1999999999999993</v>
      </c>
      <c r="K141" s="2">
        <v>1475</v>
      </c>
      <c r="L141" s="2">
        <v>3</v>
      </c>
      <c r="M141" s="2">
        <v>1</v>
      </c>
      <c r="N141" s="2">
        <v>1</v>
      </c>
      <c r="O141" s="2">
        <v>208</v>
      </c>
      <c r="P141" s="2">
        <v>0</v>
      </c>
      <c r="R141">
        <f t="shared" si="3"/>
        <v>9200</v>
      </c>
    </row>
    <row r="142" spans="1:22">
      <c r="A142" s="5" t="s">
        <v>232</v>
      </c>
      <c r="B142" s="5" t="s">
        <v>239</v>
      </c>
      <c r="C142" s="2">
        <v>1</v>
      </c>
      <c r="D142" s="5" t="s">
        <v>243</v>
      </c>
      <c r="E142" s="5" t="s">
        <v>122</v>
      </c>
      <c r="F142" s="2">
        <v>4.5999999999999996</v>
      </c>
      <c r="G142" s="2">
        <v>4.5</v>
      </c>
      <c r="H142" s="2">
        <v>4.8</v>
      </c>
      <c r="I142" s="2">
        <v>4.7</v>
      </c>
      <c r="J142" s="8">
        <v>7.17</v>
      </c>
      <c r="K142" s="2">
        <v>1483</v>
      </c>
      <c r="L142" s="2">
        <v>3</v>
      </c>
      <c r="M142" s="2">
        <v>0</v>
      </c>
      <c r="N142" s="2">
        <v>1</v>
      </c>
      <c r="O142" s="2">
        <v>428</v>
      </c>
      <c r="P142" s="2">
        <v>0</v>
      </c>
      <c r="R142">
        <f t="shared" si="3"/>
        <v>7170</v>
      </c>
    </row>
    <row r="143" spans="1:22">
      <c r="A143" s="5" t="s">
        <v>232</v>
      </c>
      <c r="B143" s="5" t="s">
        <v>239</v>
      </c>
      <c r="C143" s="2">
        <v>1</v>
      </c>
      <c r="D143" s="5" t="s">
        <v>244</v>
      </c>
      <c r="E143" s="5" t="s">
        <v>241</v>
      </c>
      <c r="F143" s="2">
        <v>4.7</v>
      </c>
      <c r="G143" s="2">
        <v>4.5999999999999996</v>
      </c>
      <c r="H143" s="2">
        <v>4.9000000000000004</v>
      </c>
      <c r="I143" s="2">
        <v>4.8</v>
      </c>
      <c r="J143" s="8">
        <v>34.200000000000003</v>
      </c>
      <c r="K143" s="2">
        <v>1188</v>
      </c>
      <c r="L143" s="2">
        <v>18</v>
      </c>
      <c r="M143" s="2">
        <v>4</v>
      </c>
      <c r="N143" s="2">
        <v>7</v>
      </c>
      <c r="O143" s="2">
        <v>398</v>
      </c>
      <c r="P143" s="2">
        <v>15</v>
      </c>
      <c r="R143">
        <f t="shared" si="3"/>
        <v>34200</v>
      </c>
    </row>
    <row r="144" spans="1:22">
      <c r="A144" s="5" t="s">
        <v>232</v>
      </c>
      <c r="B144" s="5" t="s">
        <v>239</v>
      </c>
      <c r="C144" s="2">
        <v>1</v>
      </c>
      <c r="D144" t="s">
        <v>245</v>
      </c>
      <c r="E144" s="5" t="s">
        <v>122</v>
      </c>
      <c r="F144" s="2">
        <v>4.8</v>
      </c>
      <c r="G144" s="2">
        <v>4.8</v>
      </c>
      <c r="H144" s="2">
        <v>4.9000000000000004</v>
      </c>
      <c r="I144" s="2">
        <v>4.9000000000000004</v>
      </c>
      <c r="J144" s="8">
        <v>28.7</v>
      </c>
      <c r="K144" s="2">
        <v>1679</v>
      </c>
      <c r="L144" s="2">
        <v>3</v>
      </c>
      <c r="M144" s="2">
        <v>1</v>
      </c>
      <c r="N144" s="2">
        <v>2</v>
      </c>
      <c r="O144" s="2">
        <v>317</v>
      </c>
      <c r="P144" s="2">
        <v>0</v>
      </c>
      <c r="R144">
        <f t="shared" si="3"/>
        <v>28700</v>
      </c>
    </row>
    <row r="145" spans="1:22">
      <c r="A145" s="5" t="s">
        <v>246</v>
      </c>
      <c r="B145" s="5" t="s">
        <v>247</v>
      </c>
      <c r="C145" s="2">
        <v>2</v>
      </c>
      <c r="D145" t="s">
        <v>248</v>
      </c>
      <c r="E145" s="5" t="s">
        <v>122</v>
      </c>
      <c r="F145" s="2">
        <v>4.7</v>
      </c>
      <c r="G145" s="2">
        <v>4.7</v>
      </c>
      <c r="H145" s="2">
        <v>4.8</v>
      </c>
      <c r="I145" s="2">
        <v>4.8</v>
      </c>
      <c r="J145" s="8">
        <v>49.3</v>
      </c>
      <c r="K145" s="2">
        <v>742</v>
      </c>
      <c r="L145" s="2">
        <v>10</v>
      </c>
      <c r="M145" s="2">
        <v>4</v>
      </c>
      <c r="N145" s="2">
        <v>7</v>
      </c>
      <c r="O145" s="2">
        <v>1962</v>
      </c>
      <c r="P145" s="2">
        <v>0</v>
      </c>
      <c r="R145">
        <f t="shared" si="3"/>
        <v>49300</v>
      </c>
      <c r="V145" s="9"/>
    </row>
    <row r="146" spans="1:22">
      <c r="A146" s="5" t="s">
        <v>246</v>
      </c>
      <c r="B146" s="5" t="s">
        <v>247</v>
      </c>
      <c r="C146" s="2">
        <v>2</v>
      </c>
      <c r="D146" t="s">
        <v>249</v>
      </c>
      <c r="E146" s="5" t="s">
        <v>122</v>
      </c>
      <c r="F146" s="2">
        <v>4.7</v>
      </c>
      <c r="G146" s="2">
        <v>4.8</v>
      </c>
      <c r="H146" s="2">
        <v>4.8</v>
      </c>
      <c r="I146" s="2">
        <v>4.9000000000000004</v>
      </c>
      <c r="J146" s="8">
        <v>67.5</v>
      </c>
      <c r="K146" s="2">
        <v>1508</v>
      </c>
      <c r="L146" s="2">
        <v>5</v>
      </c>
      <c r="M146" s="2">
        <v>3</v>
      </c>
      <c r="N146" s="2">
        <v>4</v>
      </c>
      <c r="O146" s="2">
        <v>1500</v>
      </c>
      <c r="P146" s="2">
        <v>1</v>
      </c>
      <c r="R146">
        <f t="shared" si="3"/>
        <v>67500</v>
      </c>
    </row>
    <row r="147" spans="1:22">
      <c r="A147" s="5" t="s">
        <v>246</v>
      </c>
      <c r="B147" s="5" t="s">
        <v>247</v>
      </c>
      <c r="C147" s="2">
        <v>2</v>
      </c>
      <c r="D147" t="s">
        <v>250</v>
      </c>
      <c r="E147" s="5" t="s">
        <v>91</v>
      </c>
      <c r="F147" s="2">
        <v>4.5999999999999996</v>
      </c>
      <c r="G147" s="2">
        <v>4.7</v>
      </c>
      <c r="H147" s="2">
        <v>4.8</v>
      </c>
      <c r="I147" s="2">
        <v>4.5</v>
      </c>
      <c r="J147" s="8">
        <v>78</v>
      </c>
      <c r="K147" s="2">
        <v>2657</v>
      </c>
      <c r="L147" s="2">
        <v>4</v>
      </c>
      <c r="M147" s="2">
        <v>4</v>
      </c>
      <c r="N147" s="2">
        <v>4</v>
      </c>
      <c r="O147" s="2">
        <v>715</v>
      </c>
      <c r="P147" s="2">
        <v>0</v>
      </c>
      <c r="R147">
        <f t="shared" si="3"/>
        <v>78000</v>
      </c>
    </row>
    <row r="148" spans="1:22">
      <c r="A148" s="5" t="s">
        <v>246</v>
      </c>
      <c r="B148" s="5" t="s">
        <v>247</v>
      </c>
      <c r="C148" s="2">
        <v>2</v>
      </c>
      <c r="D148" t="s">
        <v>251</v>
      </c>
      <c r="E148" s="5" t="s">
        <v>91</v>
      </c>
      <c r="F148" s="2">
        <v>4.5</v>
      </c>
      <c r="G148" s="2">
        <v>4.5</v>
      </c>
      <c r="H148" s="2">
        <v>4.5</v>
      </c>
      <c r="I148" s="2">
        <v>4.5</v>
      </c>
      <c r="J148" s="8">
        <v>190.3</v>
      </c>
      <c r="K148" s="2">
        <v>11431</v>
      </c>
      <c r="L148" s="2">
        <v>18</v>
      </c>
      <c r="M148" s="2">
        <v>5</v>
      </c>
      <c r="N148" s="2">
        <v>7</v>
      </c>
      <c r="O148" s="2">
        <v>438</v>
      </c>
      <c r="P148" s="2">
        <v>0</v>
      </c>
      <c r="R148">
        <f t="shared" si="3"/>
        <v>190300</v>
      </c>
    </row>
    <row r="149" spans="1:22">
      <c r="A149" s="5" t="s">
        <v>246</v>
      </c>
      <c r="B149" s="5" t="s">
        <v>247</v>
      </c>
      <c r="C149" s="2">
        <v>1</v>
      </c>
      <c r="D149" t="s">
        <v>252</v>
      </c>
      <c r="E149" s="5" t="s">
        <v>91</v>
      </c>
      <c r="F149" s="2">
        <v>4.5999999999999996</v>
      </c>
      <c r="G149" s="2">
        <v>4.5999999999999996</v>
      </c>
      <c r="H149" s="2">
        <v>4.5999999999999996</v>
      </c>
      <c r="I149" s="2">
        <v>4.5</v>
      </c>
      <c r="J149" s="8">
        <v>65.599999999999994</v>
      </c>
      <c r="K149" s="2">
        <v>2836</v>
      </c>
      <c r="L149" s="2">
        <v>17</v>
      </c>
      <c r="M149" s="2">
        <v>4</v>
      </c>
      <c r="N149" s="2">
        <v>5</v>
      </c>
      <c r="O149" s="2">
        <v>775</v>
      </c>
      <c r="P149" s="2">
        <v>0</v>
      </c>
      <c r="R149">
        <f t="shared" si="3"/>
        <v>65600</v>
      </c>
    </row>
    <row r="150" spans="1:22">
      <c r="A150" s="5" t="s">
        <v>246</v>
      </c>
      <c r="B150" s="5" t="s">
        <v>247</v>
      </c>
      <c r="C150" s="2">
        <v>1</v>
      </c>
      <c r="D150" t="s">
        <v>253</v>
      </c>
      <c r="E150" s="5" t="s">
        <v>91</v>
      </c>
      <c r="F150" s="2">
        <v>4.5</v>
      </c>
      <c r="G150" s="2">
        <v>4.5</v>
      </c>
      <c r="H150" s="2">
        <v>4.7</v>
      </c>
      <c r="I150" s="2">
        <v>4.7</v>
      </c>
      <c r="J150" s="8">
        <v>90.1</v>
      </c>
      <c r="K150" s="2">
        <v>4029</v>
      </c>
      <c r="L150" s="2">
        <v>10</v>
      </c>
      <c r="M150" s="2">
        <v>4</v>
      </c>
      <c r="N150" s="2">
        <v>7</v>
      </c>
      <c r="O150" s="2">
        <v>766</v>
      </c>
      <c r="P150" s="2">
        <v>0</v>
      </c>
      <c r="R150">
        <f t="shared" si="3"/>
        <v>90100</v>
      </c>
    </row>
    <row r="151" spans="1:22">
      <c r="A151" s="5" t="s">
        <v>246</v>
      </c>
      <c r="B151" s="5" t="s">
        <v>247</v>
      </c>
      <c r="C151" s="2">
        <v>1</v>
      </c>
      <c r="D151" t="s">
        <v>254</v>
      </c>
      <c r="E151" s="5" t="s">
        <v>122</v>
      </c>
      <c r="F151" s="2">
        <v>4.7</v>
      </c>
      <c r="G151" s="2">
        <v>4.8</v>
      </c>
      <c r="H151" s="2">
        <v>4.7</v>
      </c>
      <c r="I151" s="2">
        <v>4.8</v>
      </c>
      <c r="J151" s="8">
        <v>35.299999999999997</v>
      </c>
      <c r="K151" s="2">
        <v>621</v>
      </c>
      <c r="L151" s="2">
        <v>4</v>
      </c>
      <c r="M151" s="2">
        <v>3</v>
      </c>
      <c r="N151" s="2">
        <v>3</v>
      </c>
      <c r="O151" s="2">
        <v>1083</v>
      </c>
      <c r="P151" s="2">
        <v>0</v>
      </c>
      <c r="R151">
        <f t="shared" si="3"/>
        <v>35300</v>
      </c>
    </row>
    <row r="152" spans="1:22">
      <c r="A152" s="5" t="s">
        <v>246</v>
      </c>
      <c r="B152" s="5" t="s">
        <v>247</v>
      </c>
      <c r="C152" s="2">
        <v>1</v>
      </c>
      <c r="D152" t="s">
        <v>255</v>
      </c>
      <c r="E152" s="5" t="s">
        <v>66</v>
      </c>
      <c r="F152" s="2">
        <v>4.8</v>
      </c>
      <c r="G152" s="2">
        <v>4.8</v>
      </c>
      <c r="H152" s="2">
        <v>4.9000000000000004</v>
      </c>
      <c r="I152" s="2">
        <v>4.9000000000000004</v>
      </c>
      <c r="J152" s="8">
        <v>24.6</v>
      </c>
      <c r="K152" s="2">
        <v>439</v>
      </c>
      <c r="L152" s="2">
        <v>3</v>
      </c>
      <c r="M152" s="2">
        <v>2</v>
      </c>
      <c r="N152" s="2">
        <v>2</v>
      </c>
      <c r="O152" s="2">
        <v>1934</v>
      </c>
      <c r="P152" s="2">
        <v>0</v>
      </c>
      <c r="R152">
        <f t="shared" si="3"/>
        <v>24600</v>
      </c>
    </row>
    <row r="153" spans="1:22">
      <c r="A153" s="5" t="s">
        <v>246</v>
      </c>
      <c r="B153" s="5" t="s">
        <v>247</v>
      </c>
      <c r="C153" s="2">
        <v>1</v>
      </c>
      <c r="D153" t="s">
        <v>256</v>
      </c>
      <c r="E153" s="5" t="s">
        <v>235</v>
      </c>
      <c r="F153" s="2">
        <v>4.5999999999999996</v>
      </c>
      <c r="G153" s="2">
        <v>4.5</v>
      </c>
      <c r="H153" s="2">
        <v>4.8</v>
      </c>
      <c r="I153" s="2">
        <v>4.8</v>
      </c>
      <c r="J153" s="8">
        <v>18.399999999999999</v>
      </c>
      <c r="K153" s="2">
        <v>621</v>
      </c>
      <c r="L153" s="2">
        <v>3</v>
      </c>
      <c r="M153" s="2">
        <v>1</v>
      </c>
      <c r="N153" s="2">
        <v>1</v>
      </c>
      <c r="O153" s="2">
        <v>580</v>
      </c>
      <c r="P153" s="2">
        <v>0</v>
      </c>
      <c r="R153">
        <f t="shared" si="3"/>
        <v>18400</v>
      </c>
    </row>
    <row r="154" spans="1:22">
      <c r="A154" s="5" t="s">
        <v>246</v>
      </c>
      <c r="B154" s="5" t="s">
        <v>247</v>
      </c>
      <c r="C154" s="2">
        <v>1</v>
      </c>
      <c r="D154" t="s">
        <v>257</v>
      </c>
      <c r="E154" s="5" t="s">
        <v>91</v>
      </c>
      <c r="F154" s="2">
        <v>4.5</v>
      </c>
      <c r="G154" s="2">
        <v>4.5</v>
      </c>
      <c r="H154" s="2">
        <v>4.7</v>
      </c>
      <c r="I154" s="2">
        <v>4.7</v>
      </c>
      <c r="J154" s="8">
        <v>19.5</v>
      </c>
      <c r="K154" s="2">
        <v>671</v>
      </c>
      <c r="L154" s="2">
        <v>15</v>
      </c>
      <c r="M154" s="2">
        <v>4</v>
      </c>
      <c r="N154" s="2">
        <v>6</v>
      </c>
      <c r="O154" s="2">
        <v>741</v>
      </c>
      <c r="P154" s="2">
        <v>0</v>
      </c>
      <c r="R154">
        <f t="shared" si="3"/>
        <v>19500</v>
      </c>
    </row>
    <row r="155" spans="1:22">
      <c r="A155" s="5" t="s">
        <v>246</v>
      </c>
      <c r="B155" s="5" t="s">
        <v>247</v>
      </c>
      <c r="C155" s="2">
        <v>1</v>
      </c>
      <c r="D155" s="5" t="s">
        <v>258</v>
      </c>
      <c r="E155" s="5" t="s">
        <v>91</v>
      </c>
      <c r="F155" s="2">
        <v>4.4000000000000004</v>
      </c>
      <c r="G155" s="2">
        <v>4.4000000000000004</v>
      </c>
      <c r="H155" s="2">
        <v>4.5</v>
      </c>
      <c r="I155" s="2">
        <v>4.4000000000000004</v>
      </c>
      <c r="J155" s="8">
        <v>59.7</v>
      </c>
      <c r="K155" s="2">
        <v>1768</v>
      </c>
      <c r="L155" s="2">
        <v>5</v>
      </c>
      <c r="M155" s="2">
        <v>4</v>
      </c>
      <c r="N155" s="2">
        <v>3</v>
      </c>
      <c r="O155" s="2">
        <v>215</v>
      </c>
      <c r="P155" s="2">
        <v>1</v>
      </c>
      <c r="R155">
        <f t="shared" si="3"/>
        <v>59700</v>
      </c>
    </row>
    <row r="156" spans="1:22">
      <c r="A156" s="5" t="s">
        <v>246</v>
      </c>
      <c r="B156" s="5" t="s">
        <v>247</v>
      </c>
      <c r="C156" s="2">
        <v>1</v>
      </c>
      <c r="D156" t="s">
        <v>259</v>
      </c>
      <c r="E156" s="5" t="s">
        <v>91</v>
      </c>
      <c r="F156" s="2">
        <v>4.5999999999999996</v>
      </c>
      <c r="G156" s="2">
        <v>4.5999999999999996</v>
      </c>
      <c r="H156" s="2">
        <v>4.8</v>
      </c>
      <c r="I156" s="2">
        <v>4.5999999999999996</v>
      </c>
      <c r="J156" s="8">
        <v>78.2</v>
      </c>
      <c r="K156" s="2">
        <v>4375</v>
      </c>
      <c r="L156" s="2">
        <v>13</v>
      </c>
      <c r="M156" s="2">
        <v>4</v>
      </c>
      <c r="N156" s="2">
        <v>2</v>
      </c>
      <c r="O156" s="2">
        <v>613</v>
      </c>
      <c r="P156" s="2">
        <v>4</v>
      </c>
      <c r="R156">
        <f t="shared" si="3"/>
        <v>78200</v>
      </c>
    </row>
    <row r="157" spans="1:22">
      <c r="A157" s="5" t="s">
        <v>246</v>
      </c>
      <c r="B157" s="5" t="s">
        <v>247</v>
      </c>
      <c r="C157" s="2">
        <v>1</v>
      </c>
      <c r="D157" t="s">
        <v>260</v>
      </c>
      <c r="E157" s="5" t="s">
        <v>91</v>
      </c>
      <c r="F157" s="2">
        <v>4.5999999999999996</v>
      </c>
      <c r="G157" s="2">
        <v>4.5999999999999996</v>
      </c>
      <c r="H157" s="2">
        <v>4.8</v>
      </c>
      <c r="I157" s="2">
        <v>4.5999999999999996</v>
      </c>
      <c r="J157" s="8">
        <v>44.4</v>
      </c>
      <c r="K157" s="2">
        <v>2126</v>
      </c>
      <c r="L157" s="2">
        <v>6</v>
      </c>
      <c r="M157" s="2">
        <v>5</v>
      </c>
      <c r="N157" s="2">
        <v>7</v>
      </c>
      <c r="O157" s="2">
        <v>667</v>
      </c>
      <c r="P157" s="2">
        <v>0</v>
      </c>
      <c r="R157">
        <f t="shared" si="3"/>
        <v>44400</v>
      </c>
    </row>
    <row r="158" spans="1:22">
      <c r="A158" s="5" t="s">
        <v>246</v>
      </c>
      <c r="B158" s="5" t="s">
        <v>247</v>
      </c>
      <c r="C158" s="2">
        <v>1</v>
      </c>
      <c r="D158" t="s">
        <v>261</v>
      </c>
      <c r="E158" s="5" t="s">
        <v>74</v>
      </c>
      <c r="F158" s="2">
        <v>4.4000000000000004</v>
      </c>
      <c r="G158" s="2">
        <v>4.3</v>
      </c>
      <c r="H158" s="2">
        <v>4.5999999999999996</v>
      </c>
      <c r="I158" s="2">
        <v>4.5999999999999996</v>
      </c>
      <c r="J158" s="3">
        <v>24.4</v>
      </c>
      <c r="K158" s="2">
        <v>1668</v>
      </c>
      <c r="L158" s="2">
        <v>3</v>
      </c>
      <c r="M158" s="2">
        <v>3</v>
      </c>
      <c r="N158" s="2">
        <v>3</v>
      </c>
      <c r="O158" s="2">
        <v>285</v>
      </c>
      <c r="P158" s="2">
        <v>0</v>
      </c>
      <c r="R158">
        <f t="shared" si="3"/>
        <v>24400</v>
      </c>
    </row>
    <row r="159" spans="1:22">
      <c r="A159" s="5" t="s">
        <v>246</v>
      </c>
      <c r="B159" s="5" t="s">
        <v>247</v>
      </c>
      <c r="C159" s="2">
        <v>1</v>
      </c>
      <c r="D159" t="s">
        <v>262</v>
      </c>
      <c r="E159" s="5" t="s">
        <v>78</v>
      </c>
      <c r="F159" s="2">
        <v>4.5999999999999996</v>
      </c>
      <c r="G159" s="2">
        <v>4.5999999999999996</v>
      </c>
      <c r="H159" s="2">
        <v>4.8</v>
      </c>
      <c r="I159" s="2">
        <v>4.8</v>
      </c>
      <c r="J159" s="3">
        <v>28.7</v>
      </c>
      <c r="K159" s="2">
        <v>771</v>
      </c>
      <c r="L159" s="2">
        <v>3</v>
      </c>
      <c r="M159" s="2">
        <v>2</v>
      </c>
      <c r="N159" s="2">
        <v>2</v>
      </c>
      <c r="O159" s="2">
        <v>700</v>
      </c>
      <c r="P159" s="2">
        <v>0</v>
      </c>
      <c r="R159">
        <f t="shared" si="3"/>
        <v>28700</v>
      </c>
    </row>
    <row r="160" spans="1:22">
      <c r="A160" s="5" t="s">
        <v>246</v>
      </c>
      <c r="B160" s="5" t="s">
        <v>247</v>
      </c>
      <c r="C160" s="2">
        <v>1</v>
      </c>
      <c r="D160" t="s">
        <v>263</v>
      </c>
      <c r="E160" s="5" t="s">
        <v>91</v>
      </c>
      <c r="F160" s="2">
        <v>4.5</v>
      </c>
      <c r="G160" s="2">
        <v>4.5</v>
      </c>
      <c r="H160" s="2">
        <v>4.5</v>
      </c>
      <c r="I160" s="2">
        <v>4.5</v>
      </c>
      <c r="J160" s="3">
        <v>130.9</v>
      </c>
      <c r="K160" s="2">
        <v>6697</v>
      </c>
      <c r="L160" s="2">
        <v>19</v>
      </c>
      <c r="M160" s="2">
        <v>4</v>
      </c>
      <c r="N160" s="2">
        <v>3</v>
      </c>
      <c r="O160" s="2">
        <v>230</v>
      </c>
      <c r="P160" s="2">
        <v>1</v>
      </c>
      <c r="R160">
        <f t="shared" si="3"/>
        <v>130900</v>
      </c>
    </row>
    <row r="161" spans="1:18">
      <c r="A161" s="5" t="s">
        <v>246</v>
      </c>
      <c r="B161" s="5" t="s">
        <v>247</v>
      </c>
      <c r="C161" s="2">
        <v>1</v>
      </c>
      <c r="D161" t="s">
        <v>264</v>
      </c>
      <c r="E161" s="5" t="s">
        <v>72</v>
      </c>
      <c r="F161" s="2">
        <v>4.7</v>
      </c>
      <c r="G161" s="2">
        <v>4.7</v>
      </c>
      <c r="H161" s="2">
        <v>4.7</v>
      </c>
      <c r="I161" s="2">
        <v>4.8</v>
      </c>
      <c r="J161" s="3">
        <v>50.6</v>
      </c>
      <c r="K161" s="2">
        <v>2501</v>
      </c>
      <c r="L161" s="2">
        <v>7</v>
      </c>
      <c r="M161" s="2">
        <v>4</v>
      </c>
      <c r="N161" s="2">
        <v>5</v>
      </c>
      <c r="O161" s="2">
        <v>288</v>
      </c>
      <c r="P161" s="2">
        <v>1</v>
      </c>
      <c r="R161">
        <f t="shared" si="3"/>
        <v>50600</v>
      </c>
    </row>
    <row r="162" spans="1:18">
      <c r="A162" s="5" t="s">
        <v>246</v>
      </c>
      <c r="B162" s="5" t="s">
        <v>247</v>
      </c>
      <c r="C162" s="2">
        <v>1</v>
      </c>
      <c r="D162" t="s">
        <v>265</v>
      </c>
      <c r="E162" s="5" t="s">
        <v>91</v>
      </c>
      <c r="F162" s="2">
        <v>4.4000000000000004</v>
      </c>
      <c r="G162" s="2">
        <v>4.5</v>
      </c>
      <c r="H162" s="2">
        <v>4.4000000000000004</v>
      </c>
      <c r="I162" s="2">
        <v>4.3</v>
      </c>
      <c r="J162" s="3">
        <v>280.8</v>
      </c>
      <c r="K162" s="2">
        <v>15670</v>
      </c>
      <c r="L162" s="2">
        <v>19</v>
      </c>
      <c r="M162" s="2">
        <v>4</v>
      </c>
      <c r="N162" s="2">
        <v>6</v>
      </c>
      <c r="O162" s="2">
        <v>216</v>
      </c>
      <c r="P162" s="2">
        <v>1</v>
      </c>
      <c r="R162">
        <f t="shared" si="3"/>
        <v>280800</v>
      </c>
    </row>
    <row r="163" spans="1:18">
      <c r="A163" s="5" t="s">
        <v>246</v>
      </c>
      <c r="B163" s="5" t="s">
        <v>247</v>
      </c>
      <c r="C163" s="2">
        <v>1</v>
      </c>
      <c r="D163" t="s">
        <v>266</v>
      </c>
      <c r="E163" s="5" t="s">
        <v>66</v>
      </c>
      <c r="F163" s="2">
        <v>4.7</v>
      </c>
      <c r="G163" s="2">
        <v>4.8</v>
      </c>
      <c r="H163" s="2">
        <v>4.9000000000000004</v>
      </c>
      <c r="I163" s="2">
        <v>4.8</v>
      </c>
      <c r="J163" s="3">
        <v>37.9</v>
      </c>
      <c r="K163" s="2">
        <v>692</v>
      </c>
      <c r="L163" s="2">
        <v>3</v>
      </c>
      <c r="M163" s="2">
        <v>2</v>
      </c>
      <c r="N163" s="2">
        <v>2</v>
      </c>
      <c r="O163" s="2">
        <v>1080</v>
      </c>
      <c r="P163" s="2">
        <v>0</v>
      </c>
      <c r="R163">
        <f t="shared" si="3"/>
        <v>37900</v>
      </c>
    </row>
    <row r="164" spans="1:18">
      <c r="A164" s="5" t="s">
        <v>246</v>
      </c>
      <c r="B164" s="5" t="s">
        <v>267</v>
      </c>
      <c r="C164" s="2">
        <v>1</v>
      </c>
      <c r="D164" s="5" t="s">
        <v>268</v>
      </c>
      <c r="E164" s="5" t="s">
        <v>122</v>
      </c>
      <c r="F164" s="2">
        <v>4.0999999999999996</v>
      </c>
      <c r="G164" s="2">
        <v>4.0999999999999996</v>
      </c>
      <c r="H164" s="2">
        <v>4.0999999999999996</v>
      </c>
      <c r="I164" s="2">
        <v>4.2</v>
      </c>
      <c r="J164" s="3">
        <v>18.899999999999999</v>
      </c>
      <c r="K164" s="2">
        <v>245</v>
      </c>
      <c r="L164" s="2">
        <v>8</v>
      </c>
      <c r="M164" s="2">
        <v>4</v>
      </c>
      <c r="N164" s="2">
        <v>6</v>
      </c>
      <c r="O164" s="2">
        <v>773</v>
      </c>
      <c r="P164" s="2">
        <v>0</v>
      </c>
      <c r="R164">
        <f t="shared" si="3"/>
        <v>18900</v>
      </c>
    </row>
    <row r="165" spans="1:18">
      <c r="A165" s="5" t="s">
        <v>246</v>
      </c>
      <c r="B165" s="5" t="s">
        <v>267</v>
      </c>
      <c r="C165" s="2">
        <v>1</v>
      </c>
      <c r="D165" t="s">
        <v>269</v>
      </c>
      <c r="E165" s="5" t="s">
        <v>91</v>
      </c>
      <c r="F165" s="2">
        <v>4.0999999999999996</v>
      </c>
      <c r="G165" s="2">
        <v>4.0999999999999996</v>
      </c>
      <c r="H165" s="2">
        <v>4</v>
      </c>
      <c r="I165" s="2">
        <v>4.0999999999999996</v>
      </c>
      <c r="J165" s="3">
        <v>24.7</v>
      </c>
      <c r="K165" s="2">
        <v>431</v>
      </c>
      <c r="L165" s="2">
        <v>18</v>
      </c>
      <c r="M165" s="2">
        <v>0</v>
      </c>
      <c r="N165" s="2">
        <v>5</v>
      </c>
      <c r="O165" s="2">
        <v>424</v>
      </c>
      <c r="P165" s="2">
        <v>0</v>
      </c>
      <c r="R165">
        <f t="shared" si="3"/>
        <v>24700</v>
      </c>
    </row>
    <row r="166" spans="1:18">
      <c r="A166" s="5" t="s">
        <v>246</v>
      </c>
      <c r="B166" s="5" t="s">
        <v>270</v>
      </c>
      <c r="C166" s="2">
        <v>2</v>
      </c>
      <c r="D166" t="s">
        <v>271</v>
      </c>
      <c r="E166" s="5" t="s">
        <v>86</v>
      </c>
      <c r="F166" s="2">
        <v>4.7</v>
      </c>
      <c r="G166" s="2">
        <v>4.8</v>
      </c>
      <c r="H166" s="2">
        <v>4.8</v>
      </c>
      <c r="I166" s="2">
        <v>4.8</v>
      </c>
      <c r="J166" s="3">
        <v>42.5</v>
      </c>
      <c r="K166" s="2">
        <v>7507</v>
      </c>
      <c r="L166" s="2">
        <v>12</v>
      </c>
      <c r="M166" s="2">
        <v>5</v>
      </c>
      <c r="N166" s="2">
        <v>2</v>
      </c>
      <c r="O166" s="2">
        <v>356</v>
      </c>
      <c r="P166" s="2">
        <v>0</v>
      </c>
      <c r="R166">
        <f t="shared" si="3"/>
        <v>42500</v>
      </c>
    </row>
    <row r="167" spans="1:18">
      <c r="A167" s="5" t="s">
        <v>246</v>
      </c>
      <c r="B167" s="5" t="s">
        <v>270</v>
      </c>
      <c r="C167" s="2">
        <v>1</v>
      </c>
      <c r="D167" t="s">
        <v>272</v>
      </c>
      <c r="E167" s="5" t="s">
        <v>273</v>
      </c>
      <c r="F167" s="2">
        <v>4.8</v>
      </c>
      <c r="G167" s="2">
        <v>4.8</v>
      </c>
      <c r="H167" s="2">
        <v>4.8</v>
      </c>
      <c r="I167" s="2">
        <v>4.8</v>
      </c>
      <c r="J167" s="3">
        <v>82.5</v>
      </c>
      <c r="K167" s="2">
        <v>6298</v>
      </c>
      <c r="L167" s="2">
        <v>8</v>
      </c>
      <c r="M167" s="2">
        <v>4</v>
      </c>
      <c r="N167" s="2">
        <v>7</v>
      </c>
      <c r="O167" s="2">
        <v>334</v>
      </c>
      <c r="P167" s="2">
        <v>0</v>
      </c>
      <c r="R167">
        <f t="shared" si="3"/>
        <v>82500</v>
      </c>
    </row>
    <row r="168" spans="1:18">
      <c r="A168" s="5" t="s">
        <v>246</v>
      </c>
      <c r="B168" s="5" t="s">
        <v>270</v>
      </c>
      <c r="C168" s="2">
        <v>1</v>
      </c>
      <c r="D168" t="s">
        <v>274</v>
      </c>
      <c r="E168" s="5" t="s">
        <v>275</v>
      </c>
      <c r="F168" s="2">
        <v>4.3</v>
      </c>
      <c r="G168" s="2">
        <v>4.4000000000000004</v>
      </c>
      <c r="H168" s="2">
        <v>4.7</v>
      </c>
      <c r="I168" s="2">
        <v>4.4000000000000004</v>
      </c>
      <c r="J168" s="3">
        <v>16.100000000000001</v>
      </c>
      <c r="K168" s="2">
        <v>1597</v>
      </c>
      <c r="L168" s="2">
        <v>5</v>
      </c>
      <c r="M168" s="2">
        <v>4</v>
      </c>
      <c r="N168" s="2">
        <v>1</v>
      </c>
      <c r="O168" s="2">
        <v>155</v>
      </c>
      <c r="P168" s="2">
        <v>0</v>
      </c>
      <c r="R168">
        <f t="shared" si="3"/>
        <v>16100.000000000002</v>
      </c>
    </row>
    <row r="169" spans="1:18">
      <c r="A169" s="5" t="s">
        <v>246</v>
      </c>
      <c r="B169" s="5" t="s">
        <v>270</v>
      </c>
      <c r="C169" s="2">
        <v>1</v>
      </c>
      <c r="D169" t="s">
        <v>276</v>
      </c>
      <c r="E169" s="5" t="s">
        <v>81</v>
      </c>
      <c r="F169" s="2">
        <v>4.4000000000000004</v>
      </c>
      <c r="G169" s="2">
        <v>4.5</v>
      </c>
      <c r="H169" s="2">
        <v>4.3</v>
      </c>
      <c r="I169" s="2">
        <v>4.4000000000000004</v>
      </c>
      <c r="J169" s="3">
        <v>89.6</v>
      </c>
      <c r="K169" s="2">
        <v>6180</v>
      </c>
      <c r="L169" s="2">
        <v>10</v>
      </c>
      <c r="M169" s="2">
        <v>5</v>
      </c>
      <c r="N169" s="2">
        <v>7</v>
      </c>
      <c r="O169" s="2">
        <v>358</v>
      </c>
      <c r="P169" s="2">
        <v>0</v>
      </c>
      <c r="R169">
        <f t="shared" si="3"/>
        <v>89600</v>
      </c>
    </row>
    <row r="170" spans="1:18">
      <c r="A170" s="5" t="s">
        <v>246</v>
      </c>
      <c r="B170" s="5" t="s">
        <v>277</v>
      </c>
      <c r="C170" s="2">
        <v>2</v>
      </c>
      <c r="D170" t="s">
        <v>278</v>
      </c>
      <c r="E170" s="5" t="s">
        <v>66</v>
      </c>
      <c r="F170" s="2">
        <v>4.4000000000000004</v>
      </c>
      <c r="G170" s="2">
        <v>4.5</v>
      </c>
      <c r="H170" s="2">
        <v>4.5</v>
      </c>
      <c r="I170" s="2">
        <v>4.4000000000000004</v>
      </c>
      <c r="J170" s="3">
        <v>36.200000000000003</v>
      </c>
      <c r="K170" s="2">
        <v>895</v>
      </c>
      <c r="L170" s="2">
        <v>10</v>
      </c>
      <c r="M170" s="2">
        <v>3</v>
      </c>
      <c r="N170" s="2">
        <v>7</v>
      </c>
      <c r="O170" s="2">
        <v>1201</v>
      </c>
      <c r="P170" s="2">
        <v>0</v>
      </c>
      <c r="R170">
        <f t="shared" si="3"/>
        <v>36200</v>
      </c>
    </row>
    <row r="171" spans="1:18">
      <c r="A171" s="5" t="s">
        <v>246</v>
      </c>
      <c r="B171" s="5" t="s">
        <v>277</v>
      </c>
      <c r="C171" s="2">
        <v>1</v>
      </c>
      <c r="D171" t="s">
        <v>279</v>
      </c>
      <c r="E171" s="5" t="s">
        <v>91</v>
      </c>
      <c r="F171" s="2">
        <v>4</v>
      </c>
      <c r="G171" s="2">
        <v>4</v>
      </c>
      <c r="H171" s="9">
        <v>3.9</v>
      </c>
      <c r="I171" s="2">
        <v>3.9</v>
      </c>
      <c r="J171" s="3">
        <v>36.1</v>
      </c>
      <c r="K171" s="2">
        <v>1856</v>
      </c>
      <c r="L171" s="2">
        <v>19</v>
      </c>
      <c r="M171" s="2">
        <v>0</v>
      </c>
      <c r="N171" s="2">
        <v>6</v>
      </c>
      <c r="O171" s="2">
        <v>378</v>
      </c>
      <c r="P171" s="2">
        <v>0</v>
      </c>
      <c r="R171">
        <f t="shared" si="3"/>
        <v>36100</v>
      </c>
    </row>
    <row r="172" spans="1:18">
      <c r="A172" s="5" t="s">
        <v>246</v>
      </c>
      <c r="B172" s="5" t="s">
        <v>277</v>
      </c>
      <c r="C172" s="2">
        <v>1</v>
      </c>
      <c r="D172" t="s">
        <v>280</v>
      </c>
      <c r="E172" s="5" t="s">
        <v>122</v>
      </c>
      <c r="F172" s="2">
        <v>4.2</v>
      </c>
      <c r="G172" s="2">
        <v>4.3</v>
      </c>
      <c r="H172" s="2">
        <v>4.2</v>
      </c>
      <c r="I172" s="2">
        <v>4.0999999999999996</v>
      </c>
      <c r="J172" s="3">
        <v>13.9</v>
      </c>
      <c r="K172" s="2">
        <v>275</v>
      </c>
      <c r="L172" s="2">
        <v>6</v>
      </c>
      <c r="M172" s="2">
        <v>3</v>
      </c>
      <c r="N172" s="2">
        <v>6</v>
      </c>
      <c r="O172" s="2">
        <v>600</v>
      </c>
      <c r="P172" s="2">
        <v>0</v>
      </c>
      <c r="R172">
        <f t="shared" si="3"/>
        <v>13900</v>
      </c>
    </row>
    <row r="173" spans="1:18">
      <c r="A173" s="5" t="s">
        <v>246</v>
      </c>
      <c r="B173" s="5" t="s">
        <v>277</v>
      </c>
      <c r="C173" s="2">
        <v>1</v>
      </c>
      <c r="D173" t="s">
        <v>281</v>
      </c>
      <c r="E173" s="5" t="s">
        <v>122</v>
      </c>
      <c r="F173" s="2">
        <v>4.4000000000000004</v>
      </c>
      <c r="G173" s="2">
        <v>4.3</v>
      </c>
      <c r="H173" s="2">
        <v>4.5</v>
      </c>
      <c r="I173" s="2">
        <v>4.4000000000000004</v>
      </c>
      <c r="J173" s="3">
        <v>8.7240000000000002</v>
      </c>
      <c r="K173" s="2">
        <v>107</v>
      </c>
      <c r="L173" s="2">
        <v>3</v>
      </c>
      <c r="M173" s="2">
        <v>2</v>
      </c>
      <c r="N173" s="2">
        <v>3</v>
      </c>
      <c r="O173" s="2">
        <v>1427</v>
      </c>
      <c r="P173" s="2">
        <v>0</v>
      </c>
      <c r="R173">
        <f t="shared" si="3"/>
        <v>8724</v>
      </c>
    </row>
    <row r="174" spans="1:18">
      <c r="A174" s="5" t="s">
        <v>282</v>
      </c>
      <c r="B174" s="5" t="s">
        <v>283</v>
      </c>
      <c r="C174" s="2">
        <v>2</v>
      </c>
      <c r="D174" t="s">
        <v>284</v>
      </c>
      <c r="E174" s="5" t="s">
        <v>98</v>
      </c>
      <c r="F174" s="2">
        <v>4.7</v>
      </c>
      <c r="G174" s="2">
        <v>4.7</v>
      </c>
      <c r="H174" s="2">
        <v>4.7</v>
      </c>
      <c r="I174" s="2">
        <v>4.5999999999999996</v>
      </c>
      <c r="J174" s="3">
        <v>150.80000000000001</v>
      </c>
      <c r="K174" s="2">
        <v>16342</v>
      </c>
      <c r="L174" s="2">
        <v>9</v>
      </c>
      <c r="M174" s="2">
        <v>4</v>
      </c>
      <c r="N174" s="2">
        <v>7</v>
      </c>
      <c r="O174" s="2">
        <v>351</v>
      </c>
      <c r="P174" s="2">
        <v>0</v>
      </c>
      <c r="R174">
        <f t="shared" si="3"/>
        <v>150800</v>
      </c>
    </row>
    <row r="175" spans="1:18">
      <c r="A175" s="5" t="s">
        <v>282</v>
      </c>
      <c r="B175" s="5" t="s">
        <v>283</v>
      </c>
      <c r="C175" s="2">
        <v>1</v>
      </c>
      <c r="D175" t="s">
        <v>285</v>
      </c>
      <c r="E175" s="5" t="s">
        <v>98</v>
      </c>
      <c r="F175" s="2">
        <v>4.7</v>
      </c>
      <c r="G175" s="2">
        <v>4.5999999999999996</v>
      </c>
      <c r="H175" s="2">
        <v>4.9000000000000004</v>
      </c>
      <c r="I175" s="2">
        <v>4.7</v>
      </c>
      <c r="J175" s="3">
        <v>82.7</v>
      </c>
      <c r="K175" s="2">
        <v>2837</v>
      </c>
      <c r="L175" s="2">
        <v>8</v>
      </c>
      <c r="M175" s="2">
        <v>5</v>
      </c>
      <c r="N175" s="2">
        <v>6</v>
      </c>
      <c r="O175" s="2">
        <v>450</v>
      </c>
      <c r="P175" s="2">
        <v>1</v>
      </c>
      <c r="R175">
        <f t="shared" si="3"/>
        <v>82700</v>
      </c>
    </row>
    <row r="176" spans="1:18">
      <c r="A176" s="5" t="s">
        <v>282</v>
      </c>
      <c r="B176" s="5" t="s">
        <v>283</v>
      </c>
      <c r="C176" s="2">
        <v>1</v>
      </c>
      <c r="D176" t="s">
        <v>286</v>
      </c>
      <c r="E176" s="5" t="s">
        <v>98</v>
      </c>
      <c r="F176" s="2">
        <v>4.7</v>
      </c>
      <c r="G176" s="2">
        <v>4.7</v>
      </c>
      <c r="H176" s="2">
        <v>4.9000000000000004</v>
      </c>
      <c r="I176" s="2">
        <v>4.7</v>
      </c>
      <c r="J176" s="3">
        <v>46.3</v>
      </c>
      <c r="K176" s="2">
        <v>1391</v>
      </c>
      <c r="L176" s="2">
        <v>4</v>
      </c>
      <c r="M176" s="2">
        <v>2</v>
      </c>
      <c r="N176" s="2">
        <v>2</v>
      </c>
      <c r="O176" s="2">
        <v>900</v>
      </c>
      <c r="P176" s="2">
        <v>0</v>
      </c>
      <c r="R176">
        <f t="shared" si="3"/>
        <v>46300</v>
      </c>
    </row>
    <row r="177" spans="1:18">
      <c r="A177" s="5" t="s">
        <v>282</v>
      </c>
      <c r="B177" s="5" t="s">
        <v>283</v>
      </c>
      <c r="C177" s="2">
        <v>1</v>
      </c>
      <c r="D177" t="s">
        <v>287</v>
      </c>
      <c r="E177" s="5" t="s">
        <v>98</v>
      </c>
      <c r="F177" s="2">
        <v>4.7</v>
      </c>
      <c r="G177" s="2">
        <v>4.7</v>
      </c>
      <c r="H177" s="2">
        <v>4.8</v>
      </c>
      <c r="I177" s="2">
        <v>4.8</v>
      </c>
      <c r="J177" s="3">
        <v>84.9</v>
      </c>
      <c r="K177" s="2">
        <v>5539</v>
      </c>
      <c r="L177" s="2">
        <v>8</v>
      </c>
      <c r="M177" s="2">
        <v>4</v>
      </c>
      <c r="N177" s="2">
        <v>3</v>
      </c>
      <c r="O177" s="2">
        <v>432</v>
      </c>
      <c r="P177" s="2">
        <v>0</v>
      </c>
      <c r="R177">
        <f t="shared" si="3"/>
        <v>84900</v>
      </c>
    </row>
    <row r="178" spans="1:18">
      <c r="A178" s="5" t="s">
        <v>282</v>
      </c>
      <c r="B178" s="5" t="s">
        <v>283</v>
      </c>
      <c r="C178" s="2">
        <v>1</v>
      </c>
      <c r="D178" t="s">
        <v>288</v>
      </c>
      <c r="E178" s="5" t="s">
        <v>101</v>
      </c>
      <c r="F178" s="2">
        <v>4.8</v>
      </c>
      <c r="G178" s="2">
        <v>4.8</v>
      </c>
      <c r="H178" s="2">
        <v>4.8</v>
      </c>
      <c r="I178" s="2">
        <v>4.8</v>
      </c>
      <c r="J178" s="3">
        <v>37.700000000000003</v>
      </c>
      <c r="K178" s="2">
        <v>921</v>
      </c>
      <c r="L178" s="2">
        <v>6</v>
      </c>
      <c r="M178" s="2">
        <v>5</v>
      </c>
      <c r="N178" s="2">
        <v>4</v>
      </c>
      <c r="O178" s="2">
        <v>1848</v>
      </c>
      <c r="P178" s="2">
        <v>0</v>
      </c>
      <c r="R178">
        <f t="shared" si="3"/>
        <v>37700</v>
      </c>
    </row>
    <row r="179" spans="1:18">
      <c r="A179" s="5" t="s">
        <v>282</v>
      </c>
      <c r="B179" s="5" t="s">
        <v>289</v>
      </c>
      <c r="C179" s="2">
        <v>3</v>
      </c>
      <c r="D179" t="s">
        <v>290</v>
      </c>
      <c r="E179" s="5" t="s">
        <v>68</v>
      </c>
      <c r="F179" s="2">
        <v>4.7</v>
      </c>
      <c r="G179" s="2">
        <v>4.5999999999999996</v>
      </c>
      <c r="H179" s="2">
        <v>4.8</v>
      </c>
      <c r="I179" s="2">
        <v>4.7</v>
      </c>
      <c r="J179" s="3">
        <v>224.9</v>
      </c>
      <c r="K179" s="2">
        <v>12547</v>
      </c>
      <c r="L179" s="2">
        <v>13</v>
      </c>
      <c r="M179" s="2">
        <v>7</v>
      </c>
      <c r="N179" s="2">
        <v>6</v>
      </c>
      <c r="O179" s="2">
        <v>838</v>
      </c>
      <c r="P179" s="2">
        <v>0</v>
      </c>
      <c r="R179">
        <f t="shared" si="3"/>
        <v>224900</v>
      </c>
    </row>
    <row r="180" spans="1:18">
      <c r="A180" s="5" t="s">
        <v>282</v>
      </c>
      <c r="B180" s="5" t="s">
        <v>289</v>
      </c>
      <c r="C180" s="2">
        <v>2</v>
      </c>
      <c r="D180" t="s">
        <v>291</v>
      </c>
      <c r="E180" s="5" t="s">
        <v>68</v>
      </c>
      <c r="F180" s="2">
        <v>4.7</v>
      </c>
      <c r="G180" s="2">
        <v>4.7</v>
      </c>
      <c r="H180" s="2">
        <v>4.9000000000000004</v>
      </c>
      <c r="I180" s="2">
        <v>4.7</v>
      </c>
      <c r="J180" s="3">
        <v>59.5</v>
      </c>
      <c r="K180" s="9">
        <v>4816</v>
      </c>
      <c r="L180" s="2">
        <v>7</v>
      </c>
      <c r="M180" s="2">
        <v>6</v>
      </c>
      <c r="N180" s="2">
        <v>6</v>
      </c>
      <c r="O180" s="2">
        <v>733</v>
      </c>
      <c r="P180" s="2">
        <v>0</v>
      </c>
      <c r="R180">
        <f t="shared" si="3"/>
        <v>59500</v>
      </c>
    </row>
    <row r="181" spans="1:18">
      <c r="A181" s="5" t="s">
        <v>282</v>
      </c>
      <c r="B181" s="5" t="s">
        <v>289</v>
      </c>
      <c r="C181" s="2">
        <v>2</v>
      </c>
      <c r="D181" t="s">
        <v>292</v>
      </c>
      <c r="E181" s="5" t="s">
        <v>68</v>
      </c>
      <c r="F181" s="2">
        <v>4.4000000000000004</v>
      </c>
      <c r="G181" s="2">
        <v>4.4000000000000004</v>
      </c>
      <c r="H181" s="2">
        <v>4.8</v>
      </c>
      <c r="I181" s="2">
        <v>4.5</v>
      </c>
      <c r="J181" s="3">
        <v>144.4</v>
      </c>
      <c r="K181" s="2">
        <v>8432</v>
      </c>
      <c r="L181" s="2">
        <v>15</v>
      </c>
      <c r="M181" s="2">
        <v>6</v>
      </c>
      <c r="N181" s="2">
        <v>7</v>
      </c>
      <c r="O181" s="2">
        <v>474</v>
      </c>
      <c r="P181" s="2">
        <v>0</v>
      </c>
      <c r="R181">
        <f t="shared" si="3"/>
        <v>144400</v>
      </c>
    </row>
    <row r="182" spans="1:18">
      <c r="A182" s="5" t="s">
        <v>282</v>
      </c>
      <c r="B182" s="5" t="s">
        <v>289</v>
      </c>
      <c r="C182" s="2">
        <v>2</v>
      </c>
      <c r="D182" t="s">
        <v>293</v>
      </c>
      <c r="E182" s="5" t="s">
        <v>122</v>
      </c>
      <c r="F182" s="2">
        <v>4.7</v>
      </c>
      <c r="G182" s="2">
        <v>4.7</v>
      </c>
      <c r="H182" s="2">
        <v>4.8</v>
      </c>
      <c r="I182" s="2">
        <v>4.7</v>
      </c>
      <c r="J182" s="3">
        <v>144.1</v>
      </c>
      <c r="K182" s="2">
        <v>4718</v>
      </c>
      <c r="L182" s="2">
        <v>16</v>
      </c>
      <c r="M182" s="2">
        <v>6</v>
      </c>
      <c r="N182" s="2">
        <v>7</v>
      </c>
      <c r="O182" s="2">
        <v>868</v>
      </c>
      <c r="P182" s="2">
        <v>0</v>
      </c>
      <c r="R182">
        <f t="shared" si="3"/>
        <v>144100</v>
      </c>
    </row>
    <row r="183" spans="1:18">
      <c r="A183" s="5" t="s">
        <v>282</v>
      </c>
      <c r="B183" s="5" t="s">
        <v>289</v>
      </c>
      <c r="C183" s="2">
        <v>2</v>
      </c>
      <c r="D183" t="s">
        <v>294</v>
      </c>
      <c r="E183" s="5" t="s">
        <v>78</v>
      </c>
      <c r="F183" s="2">
        <v>4.5999999999999996</v>
      </c>
      <c r="G183" s="2">
        <v>4.4000000000000004</v>
      </c>
      <c r="H183" s="2">
        <v>4.8</v>
      </c>
      <c r="I183" s="2">
        <v>4.8</v>
      </c>
      <c r="J183" s="3">
        <v>109</v>
      </c>
      <c r="K183" s="2">
        <v>2190</v>
      </c>
      <c r="L183" s="2">
        <v>9</v>
      </c>
      <c r="M183" s="2">
        <v>6</v>
      </c>
      <c r="N183" s="2">
        <v>7</v>
      </c>
      <c r="O183" s="2">
        <v>1399</v>
      </c>
      <c r="P183" s="2">
        <v>0</v>
      </c>
      <c r="R183">
        <f t="shared" si="3"/>
        <v>109000</v>
      </c>
    </row>
    <row r="184" spans="1:18">
      <c r="A184" s="5" t="s">
        <v>282</v>
      </c>
      <c r="B184" s="5" t="s">
        <v>289</v>
      </c>
      <c r="C184" s="2">
        <v>2</v>
      </c>
      <c r="D184" t="s">
        <v>295</v>
      </c>
      <c r="E184" s="5" t="s">
        <v>76</v>
      </c>
      <c r="F184" s="2">
        <v>4.7</v>
      </c>
      <c r="G184" s="2">
        <v>4.7</v>
      </c>
      <c r="H184" s="2">
        <v>4.9000000000000004</v>
      </c>
      <c r="I184" s="2">
        <v>4.8</v>
      </c>
      <c r="J184" s="3">
        <v>111.1</v>
      </c>
      <c r="K184" s="2">
        <v>3883</v>
      </c>
      <c r="L184" s="2">
        <v>6</v>
      </c>
      <c r="M184" s="2">
        <v>5</v>
      </c>
      <c r="N184" s="2">
        <v>6</v>
      </c>
      <c r="O184" s="2">
        <v>829</v>
      </c>
      <c r="P184" s="2">
        <v>0</v>
      </c>
      <c r="R184">
        <f t="shared" si="3"/>
        <v>111100</v>
      </c>
    </row>
    <row r="185" spans="1:18">
      <c r="A185" s="5" t="s">
        <v>282</v>
      </c>
      <c r="B185" s="5" t="s">
        <v>289</v>
      </c>
      <c r="C185" s="2">
        <v>1</v>
      </c>
      <c r="D185" t="s">
        <v>296</v>
      </c>
      <c r="E185" s="5" t="s">
        <v>68</v>
      </c>
      <c r="F185" s="2">
        <v>4.7</v>
      </c>
      <c r="G185" s="2">
        <v>4.7</v>
      </c>
      <c r="H185" s="2">
        <v>4.8</v>
      </c>
      <c r="I185" s="2">
        <v>4.8</v>
      </c>
      <c r="J185" s="3">
        <v>42.5</v>
      </c>
      <c r="K185" s="2">
        <v>2408</v>
      </c>
      <c r="L185" s="2">
        <v>5</v>
      </c>
      <c r="M185" s="2">
        <v>4</v>
      </c>
      <c r="N185" s="2">
        <v>4</v>
      </c>
      <c r="O185" s="2">
        <v>775</v>
      </c>
      <c r="P185" s="2">
        <v>0</v>
      </c>
      <c r="R185">
        <f t="shared" si="3"/>
        <v>42500</v>
      </c>
    </row>
    <row r="186" spans="1:18">
      <c r="A186" s="5" t="s">
        <v>282</v>
      </c>
      <c r="B186" s="5" t="s">
        <v>289</v>
      </c>
      <c r="C186" s="2">
        <v>1</v>
      </c>
      <c r="D186" t="s">
        <v>297</v>
      </c>
      <c r="E186" s="5" t="s">
        <v>72</v>
      </c>
      <c r="F186" s="2">
        <v>4.8</v>
      </c>
      <c r="G186" s="2">
        <v>4.8</v>
      </c>
      <c r="H186" s="2">
        <v>4.8</v>
      </c>
      <c r="I186" s="2">
        <v>4.8</v>
      </c>
      <c r="J186" s="3">
        <v>8.01</v>
      </c>
      <c r="K186" s="2">
        <v>395</v>
      </c>
      <c r="L186" s="2">
        <v>2</v>
      </c>
      <c r="M186" s="2">
        <v>1</v>
      </c>
      <c r="N186" s="2">
        <v>1</v>
      </c>
      <c r="O186" s="2">
        <v>885</v>
      </c>
      <c r="P186" s="2">
        <v>0</v>
      </c>
      <c r="R186">
        <f t="shared" si="3"/>
        <v>8010</v>
      </c>
    </row>
    <row r="187" spans="1:18">
      <c r="A187" s="5" t="s">
        <v>282</v>
      </c>
      <c r="B187" s="5" t="s">
        <v>289</v>
      </c>
      <c r="C187" s="2">
        <v>1</v>
      </c>
      <c r="D187" t="s">
        <v>298</v>
      </c>
      <c r="E187" s="5" t="s">
        <v>122</v>
      </c>
      <c r="F187" s="2">
        <v>4.4000000000000004</v>
      </c>
      <c r="G187" s="2">
        <v>4.4000000000000004</v>
      </c>
      <c r="H187" s="2">
        <v>4.5999999999999996</v>
      </c>
      <c r="I187" s="2">
        <v>4.7</v>
      </c>
      <c r="J187" s="3">
        <v>44.1</v>
      </c>
      <c r="K187" s="2">
        <v>844</v>
      </c>
      <c r="L187" s="2">
        <v>3</v>
      </c>
      <c r="M187" s="2">
        <v>2</v>
      </c>
      <c r="N187" s="2">
        <v>3</v>
      </c>
      <c r="O187" s="2">
        <v>816</v>
      </c>
      <c r="P187" s="2">
        <v>0</v>
      </c>
      <c r="R187">
        <f t="shared" si="3"/>
        <v>44100</v>
      </c>
    </row>
    <row r="188" spans="1:18">
      <c r="A188" s="5" t="s">
        <v>282</v>
      </c>
      <c r="B188" s="5" t="s">
        <v>289</v>
      </c>
      <c r="C188" s="2">
        <v>1</v>
      </c>
      <c r="D188" t="s">
        <v>299</v>
      </c>
      <c r="E188" s="5" t="s">
        <v>78</v>
      </c>
      <c r="F188" s="2">
        <v>4.4000000000000004</v>
      </c>
      <c r="G188" s="2">
        <v>4.4000000000000004</v>
      </c>
      <c r="H188" s="2">
        <v>4.5</v>
      </c>
      <c r="I188" s="2">
        <v>4.5999999999999996</v>
      </c>
      <c r="J188" s="3">
        <v>122.9</v>
      </c>
      <c r="K188" s="2">
        <v>4186</v>
      </c>
      <c r="L188" s="2">
        <v>6</v>
      </c>
      <c r="M188" s="2">
        <v>5</v>
      </c>
      <c r="N188" s="2">
        <v>5</v>
      </c>
      <c r="O188" s="2">
        <v>670</v>
      </c>
      <c r="P188" s="2">
        <v>0</v>
      </c>
      <c r="R188">
        <f t="shared" si="3"/>
        <v>122900</v>
      </c>
    </row>
    <row r="189" spans="1:18">
      <c r="A189" s="5" t="s">
        <v>282</v>
      </c>
      <c r="B189" s="5" t="s">
        <v>289</v>
      </c>
      <c r="C189" s="2">
        <v>1</v>
      </c>
      <c r="D189" t="s">
        <v>300</v>
      </c>
      <c r="E189" s="5" t="s">
        <v>122</v>
      </c>
      <c r="F189" s="2">
        <v>4.4000000000000004</v>
      </c>
      <c r="G189" s="2">
        <v>4.4000000000000004</v>
      </c>
      <c r="H189" s="2">
        <v>4.8</v>
      </c>
      <c r="I189" s="2">
        <v>4.8</v>
      </c>
      <c r="J189" s="3">
        <v>16.899999999999999</v>
      </c>
      <c r="K189" s="2">
        <v>335</v>
      </c>
      <c r="L189" s="2">
        <v>3</v>
      </c>
      <c r="M189" s="2">
        <v>1</v>
      </c>
      <c r="N189" s="2">
        <v>2</v>
      </c>
      <c r="O189" s="2">
        <v>500</v>
      </c>
      <c r="P189" s="2">
        <v>0</v>
      </c>
      <c r="R189">
        <f t="shared" si="3"/>
        <v>16900</v>
      </c>
    </row>
    <row r="190" spans="1:18">
      <c r="A190" s="5" t="s">
        <v>282</v>
      </c>
      <c r="B190" s="5" t="s">
        <v>289</v>
      </c>
      <c r="C190" s="2">
        <v>1</v>
      </c>
      <c r="D190" t="s">
        <v>301</v>
      </c>
      <c r="E190" s="5" t="s">
        <v>78</v>
      </c>
      <c r="F190" s="2">
        <v>4.8</v>
      </c>
      <c r="G190" s="2">
        <v>4.8</v>
      </c>
      <c r="H190" s="2">
        <v>4.9000000000000004</v>
      </c>
      <c r="I190" s="2">
        <v>4.9000000000000004</v>
      </c>
      <c r="J190" s="3">
        <v>39</v>
      </c>
      <c r="K190" s="2">
        <v>704</v>
      </c>
      <c r="L190" s="2">
        <v>3</v>
      </c>
      <c r="M190" s="2">
        <v>2</v>
      </c>
      <c r="N190" s="2">
        <v>2</v>
      </c>
      <c r="O190" s="2">
        <v>1540</v>
      </c>
      <c r="P190" s="2">
        <v>0</v>
      </c>
      <c r="R190">
        <f t="shared" si="3"/>
        <v>39000</v>
      </c>
    </row>
    <row r="191" spans="1:18">
      <c r="A191" s="5" t="s">
        <v>282</v>
      </c>
      <c r="B191" s="5" t="s">
        <v>289</v>
      </c>
      <c r="C191" s="2">
        <v>1</v>
      </c>
      <c r="D191" t="s">
        <v>302</v>
      </c>
      <c r="E191" s="5" t="s">
        <v>68</v>
      </c>
      <c r="F191" s="2">
        <v>4.8</v>
      </c>
      <c r="G191" s="2">
        <v>4.8</v>
      </c>
      <c r="H191" s="2">
        <v>4.8</v>
      </c>
      <c r="I191" s="2">
        <v>4.8</v>
      </c>
      <c r="J191" s="3">
        <v>13.7</v>
      </c>
      <c r="K191" s="2">
        <v>578</v>
      </c>
      <c r="L191" s="2">
        <v>2</v>
      </c>
      <c r="M191" s="2">
        <v>1</v>
      </c>
      <c r="N191" s="2">
        <v>1</v>
      </c>
      <c r="O191" s="2">
        <v>508</v>
      </c>
      <c r="P191" s="2">
        <v>0</v>
      </c>
      <c r="R191">
        <f t="shared" si="3"/>
        <v>13700</v>
      </c>
    </row>
    <row r="192" spans="1:18">
      <c r="A192" s="5" t="s">
        <v>282</v>
      </c>
      <c r="B192" s="5" t="s">
        <v>289</v>
      </c>
      <c r="C192" s="2">
        <v>1</v>
      </c>
      <c r="D192" t="s">
        <v>303</v>
      </c>
      <c r="E192" s="5" t="s">
        <v>101</v>
      </c>
      <c r="F192" s="2">
        <v>4.5</v>
      </c>
      <c r="G192" s="2">
        <v>4.4000000000000004</v>
      </c>
      <c r="H192" s="2">
        <v>4.8</v>
      </c>
      <c r="I192" s="2">
        <v>4.7</v>
      </c>
      <c r="J192" s="3">
        <v>61.1</v>
      </c>
      <c r="K192" s="2">
        <v>1430</v>
      </c>
      <c r="L192" s="2">
        <v>9</v>
      </c>
      <c r="M192" s="2">
        <v>4</v>
      </c>
      <c r="N192" s="2">
        <v>7</v>
      </c>
      <c r="O192" s="2">
        <v>2211</v>
      </c>
      <c r="P192" s="2">
        <v>0</v>
      </c>
      <c r="Q192" s="5" t="s">
        <v>304</v>
      </c>
      <c r="R192">
        <f t="shared" si="3"/>
        <v>61100</v>
      </c>
    </row>
    <row r="193" spans="1:18">
      <c r="A193" s="5" t="s">
        <v>282</v>
      </c>
      <c r="B193" s="5" t="s">
        <v>289</v>
      </c>
      <c r="C193" s="2">
        <v>1</v>
      </c>
      <c r="D193" t="s">
        <v>305</v>
      </c>
      <c r="E193" s="5" t="s">
        <v>68</v>
      </c>
      <c r="F193" s="2">
        <v>4.5</v>
      </c>
      <c r="G193" s="2">
        <v>4.4000000000000004</v>
      </c>
      <c r="H193" s="2">
        <v>4.8</v>
      </c>
      <c r="I193" s="2">
        <v>4.5999999999999996</v>
      </c>
      <c r="J193" s="3">
        <v>301.2</v>
      </c>
      <c r="K193" s="2">
        <v>15092</v>
      </c>
      <c r="L193" s="2">
        <v>14</v>
      </c>
      <c r="M193" s="2">
        <v>6</v>
      </c>
      <c r="N193" s="2">
        <v>7</v>
      </c>
      <c r="O193" s="2">
        <v>797</v>
      </c>
      <c r="P193" s="2">
        <v>0</v>
      </c>
      <c r="R193">
        <f t="shared" si="3"/>
        <v>301200</v>
      </c>
    </row>
    <row r="194" spans="1:18">
      <c r="A194" s="5" t="s">
        <v>282</v>
      </c>
      <c r="B194" s="5" t="s">
        <v>289</v>
      </c>
      <c r="C194" s="2">
        <v>1</v>
      </c>
      <c r="D194" t="s">
        <v>306</v>
      </c>
      <c r="E194" s="5" t="s">
        <v>68</v>
      </c>
      <c r="F194" s="2">
        <v>4.4000000000000004</v>
      </c>
      <c r="G194" s="2">
        <v>4.4000000000000004</v>
      </c>
      <c r="H194" s="2">
        <v>4.4000000000000004</v>
      </c>
      <c r="I194" s="2">
        <v>4.4000000000000004</v>
      </c>
      <c r="J194" s="3">
        <v>80.900000000000006</v>
      </c>
      <c r="K194" s="2">
        <v>2667</v>
      </c>
      <c r="L194" s="2">
        <v>13</v>
      </c>
      <c r="M194" s="2">
        <v>4</v>
      </c>
      <c r="N194" s="2">
        <v>7</v>
      </c>
      <c r="O194" s="2">
        <v>722</v>
      </c>
      <c r="P194" s="2">
        <v>0</v>
      </c>
      <c r="R194">
        <f t="shared" si="3"/>
        <v>80900</v>
      </c>
    </row>
    <row r="195" spans="1:18">
      <c r="A195" s="5" t="s">
        <v>282</v>
      </c>
      <c r="B195" s="5" t="s">
        <v>307</v>
      </c>
      <c r="C195" s="2">
        <v>1</v>
      </c>
      <c r="D195" t="s">
        <v>308</v>
      </c>
      <c r="E195" s="5" t="s">
        <v>68</v>
      </c>
      <c r="F195" s="2">
        <v>4.7</v>
      </c>
      <c r="G195" s="2">
        <v>4.5999999999999996</v>
      </c>
      <c r="H195" s="2">
        <v>4.8</v>
      </c>
      <c r="I195" s="2">
        <v>4.5999999999999996</v>
      </c>
      <c r="J195" s="3">
        <v>28.2</v>
      </c>
      <c r="K195" s="2">
        <v>2766</v>
      </c>
      <c r="L195" s="2">
        <v>18</v>
      </c>
      <c r="M195" s="2">
        <v>6</v>
      </c>
      <c r="N195" s="2">
        <v>7</v>
      </c>
      <c r="O195" s="2">
        <v>352</v>
      </c>
      <c r="P195" s="2">
        <v>0</v>
      </c>
      <c r="R195">
        <f t="shared" si="3"/>
        <v>28200</v>
      </c>
    </row>
    <row r="196" spans="1:18">
      <c r="A196" s="5" t="s">
        <v>282</v>
      </c>
      <c r="B196" s="5" t="s">
        <v>307</v>
      </c>
      <c r="C196" s="2">
        <v>1</v>
      </c>
      <c r="D196" t="s">
        <v>309</v>
      </c>
      <c r="E196" s="5" t="s">
        <v>68</v>
      </c>
      <c r="F196" s="2">
        <v>4.8</v>
      </c>
      <c r="G196" s="2">
        <v>4.8</v>
      </c>
      <c r="H196" s="2">
        <v>4.8</v>
      </c>
      <c r="I196" s="2">
        <v>4.8</v>
      </c>
      <c r="J196" s="3">
        <v>7.28</v>
      </c>
      <c r="K196" s="2">
        <v>199</v>
      </c>
      <c r="L196" s="2">
        <v>2</v>
      </c>
      <c r="M196" s="2">
        <v>0</v>
      </c>
      <c r="N196" s="2">
        <v>1</v>
      </c>
      <c r="O196" s="2">
        <v>656</v>
      </c>
      <c r="P196" s="2">
        <v>0</v>
      </c>
      <c r="R196">
        <f t="shared" si="3"/>
        <v>7280</v>
      </c>
    </row>
    <row r="197" spans="1:18">
      <c r="A197" s="5" t="s">
        <v>282</v>
      </c>
      <c r="B197" s="5" t="s">
        <v>307</v>
      </c>
      <c r="C197" s="2">
        <v>1</v>
      </c>
      <c r="D197" t="s">
        <v>92</v>
      </c>
      <c r="E197" s="5" t="s">
        <v>91</v>
      </c>
      <c r="F197" s="2">
        <v>4.7</v>
      </c>
      <c r="G197" s="2">
        <v>4.5999999999999996</v>
      </c>
      <c r="H197" s="2">
        <v>4.8</v>
      </c>
      <c r="I197" s="2">
        <v>4.7</v>
      </c>
      <c r="J197" s="3">
        <v>22.1</v>
      </c>
      <c r="K197" s="2">
        <v>2042</v>
      </c>
      <c r="L197" s="2">
        <v>10</v>
      </c>
      <c r="M197" s="2">
        <v>4</v>
      </c>
      <c r="N197" s="2">
        <v>7</v>
      </c>
      <c r="O197" s="2">
        <v>446</v>
      </c>
      <c r="P197" s="2">
        <v>0</v>
      </c>
      <c r="R197">
        <f t="shared" si="3"/>
        <v>22100</v>
      </c>
    </row>
    <row r="198" spans="1:18">
      <c r="A198" s="5" t="s">
        <v>282</v>
      </c>
      <c r="B198" s="5" t="s">
        <v>307</v>
      </c>
      <c r="C198" s="2">
        <v>1</v>
      </c>
      <c r="D198" t="s">
        <v>310</v>
      </c>
      <c r="E198" s="5" t="s">
        <v>81</v>
      </c>
      <c r="F198" s="2">
        <v>4.7</v>
      </c>
      <c r="G198" s="2">
        <v>4.8</v>
      </c>
      <c r="H198" s="2">
        <v>4.8</v>
      </c>
      <c r="I198" s="2">
        <v>4.8</v>
      </c>
      <c r="J198" s="3">
        <v>17.2</v>
      </c>
      <c r="K198" s="2">
        <v>980</v>
      </c>
      <c r="L198" s="2">
        <v>6</v>
      </c>
      <c r="M198" s="2">
        <v>4</v>
      </c>
      <c r="N198" s="2">
        <v>5</v>
      </c>
      <c r="O198" s="2">
        <v>386</v>
      </c>
      <c r="P198" s="2">
        <v>3</v>
      </c>
      <c r="R198">
        <f t="shared" si="3"/>
        <v>17200</v>
      </c>
    </row>
    <row r="199" spans="1:18">
      <c r="A199" s="5" t="s">
        <v>282</v>
      </c>
      <c r="B199" s="5" t="s">
        <v>307</v>
      </c>
      <c r="C199" s="2">
        <v>1</v>
      </c>
      <c r="D199" t="s">
        <v>311</v>
      </c>
      <c r="E199" s="5" t="s">
        <v>68</v>
      </c>
      <c r="F199" s="2">
        <v>4.7</v>
      </c>
      <c r="G199" s="2">
        <v>4.7</v>
      </c>
      <c r="H199" s="2">
        <v>4.8</v>
      </c>
      <c r="I199" s="2">
        <v>4.8</v>
      </c>
      <c r="J199" s="3">
        <v>31.3</v>
      </c>
      <c r="K199" s="2">
        <v>3524</v>
      </c>
      <c r="L199" s="2">
        <v>11</v>
      </c>
      <c r="M199" s="2">
        <v>5</v>
      </c>
      <c r="N199" s="2">
        <v>7</v>
      </c>
      <c r="O199" s="2">
        <v>559</v>
      </c>
      <c r="P199" s="2">
        <v>0</v>
      </c>
      <c r="R199">
        <f t="shared" si="3"/>
        <v>31300</v>
      </c>
    </row>
    <row r="200" spans="1:18">
      <c r="A200" s="5" t="s">
        <v>282</v>
      </c>
      <c r="B200" s="5" t="s">
        <v>312</v>
      </c>
      <c r="C200" s="2">
        <v>1</v>
      </c>
      <c r="D200" t="s">
        <v>313</v>
      </c>
      <c r="E200" s="5" t="s">
        <v>98</v>
      </c>
      <c r="F200" s="2">
        <v>4.5999999999999996</v>
      </c>
      <c r="G200" s="2">
        <v>4.7</v>
      </c>
      <c r="H200" s="2">
        <v>4.8</v>
      </c>
      <c r="I200" s="2">
        <v>4.5999999999999996</v>
      </c>
      <c r="J200" s="3">
        <v>18.2</v>
      </c>
      <c r="K200" s="2">
        <v>2552</v>
      </c>
      <c r="L200" s="2">
        <v>3</v>
      </c>
      <c r="M200" s="2">
        <v>3</v>
      </c>
      <c r="N200" s="2">
        <v>3</v>
      </c>
      <c r="O200" s="2">
        <v>521</v>
      </c>
      <c r="P200" s="2">
        <v>0</v>
      </c>
      <c r="R200">
        <f t="shared" si="3"/>
        <v>18200</v>
      </c>
    </row>
    <row r="201" spans="1:18">
      <c r="A201" s="5" t="s">
        <v>282</v>
      </c>
      <c r="B201" s="5" t="s">
        <v>312</v>
      </c>
      <c r="C201" s="2">
        <v>1</v>
      </c>
      <c r="D201" t="s">
        <v>314</v>
      </c>
      <c r="E201" s="5" t="s">
        <v>315</v>
      </c>
      <c r="F201" s="2">
        <v>4.4000000000000004</v>
      </c>
      <c r="G201" s="2">
        <v>4.4000000000000004</v>
      </c>
      <c r="H201" s="2">
        <v>4.5999999999999996</v>
      </c>
      <c r="I201" s="2">
        <v>4.5</v>
      </c>
      <c r="J201" s="3">
        <v>35.5</v>
      </c>
      <c r="K201" s="2">
        <v>3697</v>
      </c>
      <c r="L201" s="2">
        <v>9</v>
      </c>
      <c r="M201" s="2">
        <v>4</v>
      </c>
      <c r="N201" s="2">
        <v>6</v>
      </c>
      <c r="O201" s="2">
        <v>479</v>
      </c>
      <c r="P201" s="2">
        <v>0</v>
      </c>
      <c r="R201">
        <f t="shared" si="3"/>
        <v>35500</v>
      </c>
    </row>
    <row r="202" spans="1:18">
      <c r="A202" s="5" t="s">
        <v>282</v>
      </c>
      <c r="B202" s="5" t="s">
        <v>312</v>
      </c>
      <c r="C202" s="2">
        <v>1</v>
      </c>
      <c r="D202" t="s">
        <v>316</v>
      </c>
      <c r="E202" s="5" t="s">
        <v>66</v>
      </c>
      <c r="F202" s="2">
        <v>4.7</v>
      </c>
      <c r="G202" s="2">
        <v>4.5999999999999996</v>
      </c>
      <c r="H202" s="2">
        <v>4.8</v>
      </c>
      <c r="I202" s="2">
        <v>4.8</v>
      </c>
      <c r="J202" s="3">
        <v>16.7</v>
      </c>
      <c r="K202" s="2">
        <v>928</v>
      </c>
      <c r="L202" s="2">
        <v>3</v>
      </c>
      <c r="M202" s="2">
        <v>3</v>
      </c>
      <c r="N202" s="2">
        <v>2</v>
      </c>
      <c r="O202" s="2">
        <v>655</v>
      </c>
      <c r="P202" s="2">
        <v>1</v>
      </c>
      <c r="R202">
        <f t="shared" si="3"/>
        <v>16700</v>
      </c>
    </row>
    <row r="203" spans="1:18">
      <c r="A203" s="5" t="s">
        <v>282</v>
      </c>
      <c r="B203" s="5" t="s">
        <v>312</v>
      </c>
      <c r="C203" s="2">
        <v>1</v>
      </c>
      <c r="D203" t="s">
        <v>317</v>
      </c>
      <c r="E203" s="5" t="s">
        <v>76</v>
      </c>
      <c r="F203" s="2">
        <v>4.5999999999999996</v>
      </c>
      <c r="G203" s="2">
        <v>4.5999999999999996</v>
      </c>
      <c r="H203" s="2">
        <v>4.8</v>
      </c>
      <c r="I203" s="2">
        <v>4.7</v>
      </c>
      <c r="J203" s="3">
        <v>145.4</v>
      </c>
      <c r="K203" s="2">
        <v>7106</v>
      </c>
      <c r="L203" s="2">
        <v>5</v>
      </c>
      <c r="M203" s="2">
        <v>7</v>
      </c>
      <c r="N203" s="2">
        <v>5</v>
      </c>
      <c r="O203" s="2">
        <v>267</v>
      </c>
      <c r="P203" s="2">
        <v>5</v>
      </c>
      <c r="R203">
        <f t="shared" si="3"/>
        <v>145400</v>
      </c>
    </row>
    <row r="204" spans="1:18">
      <c r="A204" s="5" t="s">
        <v>282</v>
      </c>
      <c r="B204" s="5" t="s">
        <v>312</v>
      </c>
      <c r="C204" s="2">
        <v>1</v>
      </c>
      <c r="D204" t="s">
        <v>318</v>
      </c>
      <c r="E204" s="5" t="s">
        <v>315</v>
      </c>
      <c r="F204" s="2">
        <v>4.7</v>
      </c>
      <c r="G204" s="2">
        <v>4.7</v>
      </c>
      <c r="H204" s="2">
        <v>4.8</v>
      </c>
      <c r="I204" s="2">
        <v>4.7</v>
      </c>
      <c r="J204" s="3">
        <v>26.2</v>
      </c>
      <c r="K204" s="2">
        <v>430</v>
      </c>
      <c r="L204" s="2">
        <v>3</v>
      </c>
      <c r="M204" s="2">
        <v>2</v>
      </c>
      <c r="N204" s="2">
        <v>2</v>
      </c>
      <c r="O204" s="2">
        <v>570</v>
      </c>
      <c r="P204" s="2">
        <v>3</v>
      </c>
      <c r="R204">
        <f t="shared" ref="R204:R234" si="4">J204*1000</f>
        <v>26200</v>
      </c>
    </row>
    <row r="205" spans="1:18">
      <c r="A205" s="5" t="s">
        <v>282</v>
      </c>
      <c r="B205" s="5" t="s">
        <v>312</v>
      </c>
      <c r="C205" s="2">
        <v>1</v>
      </c>
      <c r="D205" s="1" t="s">
        <v>319</v>
      </c>
      <c r="E205" s="5" t="s">
        <v>122</v>
      </c>
      <c r="F205" s="2">
        <v>4.9000000000000004</v>
      </c>
      <c r="G205" s="2">
        <v>4.9000000000000004</v>
      </c>
      <c r="H205" s="2">
        <v>4.9000000000000004</v>
      </c>
      <c r="I205" s="2">
        <v>4.8</v>
      </c>
      <c r="J205" s="3">
        <v>5.266</v>
      </c>
      <c r="K205" s="2">
        <v>223</v>
      </c>
      <c r="L205" s="2">
        <v>2</v>
      </c>
      <c r="M205" s="2">
        <v>1</v>
      </c>
      <c r="N205" s="2">
        <v>1</v>
      </c>
      <c r="O205" s="2">
        <v>348</v>
      </c>
      <c r="P205" s="2">
        <v>0</v>
      </c>
      <c r="R205">
        <f t="shared" si="4"/>
        <v>5266</v>
      </c>
    </row>
    <row r="206" spans="1:18">
      <c r="A206" s="5" t="s">
        <v>282</v>
      </c>
      <c r="B206" s="5" t="s">
        <v>320</v>
      </c>
      <c r="C206" s="2">
        <v>3</v>
      </c>
      <c r="D206" s="5" t="s">
        <v>321</v>
      </c>
      <c r="E206" s="5" t="s">
        <v>76</v>
      </c>
      <c r="F206" s="2">
        <v>4.7</v>
      </c>
      <c r="G206" s="2">
        <v>4.7</v>
      </c>
      <c r="H206" s="2">
        <v>4.9000000000000004</v>
      </c>
      <c r="I206" s="2">
        <v>4.8</v>
      </c>
      <c r="J206" s="3">
        <v>59.4</v>
      </c>
      <c r="K206" s="2">
        <v>5161</v>
      </c>
      <c r="L206" s="2">
        <v>15</v>
      </c>
      <c r="M206" s="2">
        <v>5</v>
      </c>
      <c r="N206" s="2">
        <v>6</v>
      </c>
      <c r="O206" s="2">
        <v>589</v>
      </c>
      <c r="P206" s="2">
        <v>3</v>
      </c>
      <c r="R206">
        <f t="shared" si="4"/>
        <v>59400</v>
      </c>
    </row>
    <row r="207" spans="1:18">
      <c r="A207" s="5" t="s">
        <v>282</v>
      </c>
      <c r="B207" s="5" t="s">
        <v>320</v>
      </c>
      <c r="C207" s="2">
        <v>2</v>
      </c>
      <c r="D207" t="s">
        <v>322</v>
      </c>
      <c r="E207" s="5" t="s">
        <v>76</v>
      </c>
      <c r="F207" s="2">
        <v>4.5999999999999996</v>
      </c>
      <c r="G207" s="2">
        <v>4.5999999999999996</v>
      </c>
      <c r="H207" s="2">
        <v>4.5999999999999996</v>
      </c>
      <c r="I207" s="2">
        <v>4.7</v>
      </c>
      <c r="J207" s="3">
        <v>36.299999999999997</v>
      </c>
      <c r="K207" s="2">
        <v>3620</v>
      </c>
      <c r="L207" s="2">
        <v>18</v>
      </c>
      <c r="M207" s="2">
        <v>6</v>
      </c>
      <c r="N207" s="2">
        <v>7</v>
      </c>
      <c r="O207" s="2">
        <v>608</v>
      </c>
      <c r="P207" s="2">
        <v>3</v>
      </c>
      <c r="R207">
        <f t="shared" si="4"/>
        <v>36300</v>
      </c>
    </row>
    <row r="208" spans="1:18">
      <c r="A208" s="5" t="s">
        <v>282</v>
      </c>
      <c r="B208" s="5" t="s">
        <v>320</v>
      </c>
      <c r="C208" s="2">
        <v>1</v>
      </c>
      <c r="D208" t="s">
        <v>323</v>
      </c>
      <c r="F208" s="2">
        <v>4.8</v>
      </c>
      <c r="G208" s="2">
        <v>4.8</v>
      </c>
      <c r="H208" s="2">
        <v>4.8</v>
      </c>
      <c r="I208" s="2">
        <v>4.8</v>
      </c>
      <c r="J208" s="3">
        <v>1.2110000000000001</v>
      </c>
      <c r="K208" s="2">
        <v>179</v>
      </c>
      <c r="L208" s="2">
        <v>1.5</v>
      </c>
      <c r="M208" s="2">
        <v>0</v>
      </c>
      <c r="N208" s="2">
        <v>1</v>
      </c>
      <c r="O208" s="2">
        <v>299</v>
      </c>
      <c r="P208" s="2">
        <v>0</v>
      </c>
      <c r="R208">
        <f t="shared" si="4"/>
        <v>1211</v>
      </c>
    </row>
    <row r="209" spans="1:18">
      <c r="A209" s="5" t="s">
        <v>282</v>
      </c>
      <c r="B209" s="5" t="s">
        <v>320</v>
      </c>
      <c r="C209" s="2">
        <v>1</v>
      </c>
      <c r="D209" t="s">
        <v>324</v>
      </c>
      <c r="E209" s="5" t="s">
        <v>76</v>
      </c>
      <c r="F209" s="2">
        <v>4.4000000000000004</v>
      </c>
      <c r="G209" s="2">
        <v>4.4000000000000004</v>
      </c>
      <c r="H209" s="2">
        <v>4.4000000000000004</v>
      </c>
      <c r="I209" s="2">
        <v>4.3</v>
      </c>
      <c r="J209" s="3">
        <v>63.2</v>
      </c>
      <c r="K209" s="2">
        <v>3764</v>
      </c>
      <c r="L209" s="2">
        <v>13</v>
      </c>
      <c r="M209" s="2">
        <v>3</v>
      </c>
      <c r="N209" s="2">
        <v>7</v>
      </c>
      <c r="O209" s="2">
        <v>239</v>
      </c>
      <c r="P209" s="2">
        <v>0</v>
      </c>
      <c r="R209">
        <f t="shared" si="4"/>
        <v>63200</v>
      </c>
    </row>
    <row r="210" spans="1:18">
      <c r="A210" s="5" t="s">
        <v>282</v>
      </c>
      <c r="B210" s="5" t="s">
        <v>325</v>
      </c>
      <c r="C210" s="2">
        <v>1</v>
      </c>
      <c r="D210" t="s">
        <v>326</v>
      </c>
      <c r="E210" s="5" t="s">
        <v>315</v>
      </c>
      <c r="F210" s="2">
        <v>4.5</v>
      </c>
      <c r="G210" s="2">
        <v>4.5</v>
      </c>
      <c r="H210" s="2">
        <v>4.8</v>
      </c>
      <c r="I210" s="2">
        <v>4.7</v>
      </c>
      <c r="J210" s="3">
        <v>12.6</v>
      </c>
      <c r="K210" s="2">
        <v>638</v>
      </c>
      <c r="L210" s="2">
        <v>5</v>
      </c>
      <c r="M210" s="2">
        <v>2</v>
      </c>
      <c r="N210" s="2">
        <v>2</v>
      </c>
      <c r="O210" s="2">
        <v>380</v>
      </c>
      <c r="P210" s="2">
        <v>2</v>
      </c>
      <c r="R210">
        <f t="shared" si="4"/>
        <v>12600</v>
      </c>
    </row>
    <row r="211" spans="1:18">
      <c r="A211" s="5" t="s">
        <v>282</v>
      </c>
      <c r="B211" s="5" t="s">
        <v>325</v>
      </c>
      <c r="C211" s="2">
        <v>1</v>
      </c>
      <c r="D211" t="s">
        <v>327</v>
      </c>
      <c r="E211" s="5" t="s">
        <v>78</v>
      </c>
      <c r="F211" s="2">
        <v>4.8</v>
      </c>
      <c r="G211" s="2">
        <v>4.8</v>
      </c>
      <c r="H211" s="2">
        <v>4.8</v>
      </c>
      <c r="I211" s="2">
        <v>4.9000000000000004</v>
      </c>
      <c r="J211" s="3">
        <v>27.3</v>
      </c>
      <c r="K211" s="2">
        <v>1929</v>
      </c>
      <c r="L211" s="2">
        <v>7</v>
      </c>
      <c r="M211" s="2">
        <v>4</v>
      </c>
      <c r="N211" s="2">
        <v>1</v>
      </c>
      <c r="O211" s="2">
        <v>754</v>
      </c>
      <c r="P211" s="2">
        <v>0</v>
      </c>
      <c r="R211">
        <f t="shared" si="4"/>
        <v>27300</v>
      </c>
    </row>
    <row r="212" spans="1:18">
      <c r="A212" s="5" t="s">
        <v>282</v>
      </c>
      <c r="B212" s="5" t="s">
        <v>325</v>
      </c>
      <c r="C212" s="2">
        <v>1</v>
      </c>
      <c r="D212" s="5" t="s">
        <v>328</v>
      </c>
      <c r="E212" s="5" t="s">
        <v>315</v>
      </c>
      <c r="F212" s="2">
        <v>4.4000000000000004</v>
      </c>
      <c r="G212" s="2">
        <v>4.4000000000000004</v>
      </c>
      <c r="H212" s="2">
        <v>4.8</v>
      </c>
      <c r="I212" s="2">
        <v>4.4000000000000004</v>
      </c>
      <c r="J212" s="3">
        <v>8.5530000000000008</v>
      </c>
      <c r="K212" s="2">
        <v>2066</v>
      </c>
      <c r="L212" s="2">
        <v>8</v>
      </c>
      <c r="M212" s="2">
        <v>2</v>
      </c>
      <c r="N212" s="2">
        <v>2</v>
      </c>
      <c r="O212" s="2">
        <v>408</v>
      </c>
      <c r="P212" s="2">
        <v>0</v>
      </c>
      <c r="R212">
        <f t="shared" si="4"/>
        <v>8553</v>
      </c>
    </row>
    <row r="213" spans="1:18">
      <c r="A213" s="5" t="s">
        <v>282</v>
      </c>
      <c r="B213" s="5" t="s">
        <v>325</v>
      </c>
      <c r="C213" s="2">
        <v>1</v>
      </c>
      <c r="D213" t="s">
        <v>329</v>
      </c>
      <c r="E213" s="5" t="s">
        <v>315</v>
      </c>
      <c r="F213" s="2">
        <v>4.7</v>
      </c>
      <c r="G213" s="2">
        <v>4.5999999999999996</v>
      </c>
      <c r="H213" s="9">
        <v>4.8</v>
      </c>
      <c r="I213" s="2">
        <v>4.8</v>
      </c>
      <c r="J213" s="3">
        <v>4.9329999999999998</v>
      </c>
      <c r="K213" s="2">
        <v>417</v>
      </c>
      <c r="L213" s="2">
        <v>9</v>
      </c>
      <c r="M213" s="2">
        <v>3</v>
      </c>
      <c r="N213" s="2">
        <v>2</v>
      </c>
      <c r="O213" s="2">
        <v>658</v>
      </c>
      <c r="P213" s="2">
        <v>0</v>
      </c>
      <c r="R213">
        <f t="shared" si="4"/>
        <v>4933</v>
      </c>
    </row>
    <row r="214" spans="1:18">
      <c r="A214" s="5" t="s">
        <v>282</v>
      </c>
      <c r="B214" s="5" t="s">
        <v>330</v>
      </c>
      <c r="C214" s="2">
        <v>2</v>
      </c>
      <c r="D214" t="s">
        <v>331</v>
      </c>
      <c r="E214" s="5" t="s">
        <v>98</v>
      </c>
      <c r="F214" s="2">
        <v>4.2</v>
      </c>
      <c r="G214" s="2">
        <v>4.0999999999999996</v>
      </c>
      <c r="H214" s="2">
        <v>4.4000000000000004</v>
      </c>
      <c r="I214" s="2">
        <v>4.2</v>
      </c>
      <c r="J214" s="3">
        <v>233.5</v>
      </c>
      <c r="K214" s="2">
        <v>22403</v>
      </c>
      <c r="L214" s="2">
        <v>15</v>
      </c>
      <c r="M214" s="2">
        <v>6</v>
      </c>
      <c r="N214" s="2">
        <v>7</v>
      </c>
      <c r="O214" s="2">
        <v>160</v>
      </c>
      <c r="P214" s="2">
        <v>0</v>
      </c>
      <c r="R214">
        <f t="shared" si="4"/>
        <v>233500</v>
      </c>
    </row>
    <row r="215" spans="1:18">
      <c r="A215" s="5" t="s">
        <v>282</v>
      </c>
      <c r="B215" s="5" t="s">
        <v>330</v>
      </c>
      <c r="C215" s="2">
        <v>1</v>
      </c>
      <c r="D215" t="s">
        <v>332</v>
      </c>
      <c r="E215" s="5" t="s">
        <v>98</v>
      </c>
      <c r="F215" s="2">
        <v>4.4000000000000004</v>
      </c>
      <c r="G215" s="2">
        <v>4.4000000000000004</v>
      </c>
      <c r="H215" s="2">
        <v>4.5999999999999996</v>
      </c>
      <c r="I215" s="2">
        <v>4.5</v>
      </c>
      <c r="J215" s="3">
        <v>33.700000000000003</v>
      </c>
      <c r="K215" s="2">
        <v>1366</v>
      </c>
      <c r="L215" s="2">
        <v>3</v>
      </c>
      <c r="M215" s="2">
        <v>3</v>
      </c>
      <c r="N215" s="2">
        <v>2</v>
      </c>
      <c r="O215" s="2">
        <v>387</v>
      </c>
      <c r="P215" s="2">
        <v>0</v>
      </c>
      <c r="R215">
        <f t="shared" si="4"/>
        <v>33700</v>
      </c>
    </row>
    <row r="216" spans="1:18">
      <c r="A216" s="5" t="s">
        <v>246</v>
      </c>
      <c r="B216" s="5" t="s">
        <v>333</v>
      </c>
      <c r="C216" s="2">
        <v>1</v>
      </c>
      <c r="D216" t="s">
        <v>334</v>
      </c>
      <c r="E216" s="5" t="s">
        <v>78</v>
      </c>
      <c r="F216" s="2">
        <v>4.5</v>
      </c>
      <c r="G216" s="2">
        <v>4.4000000000000004</v>
      </c>
      <c r="H216" s="2">
        <v>4.8</v>
      </c>
      <c r="I216" s="2">
        <v>4.8</v>
      </c>
      <c r="J216" s="3">
        <v>57.5</v>
      </c>
      <c r="K216" s="2">
        <v>1046</v>
      </c>
      <c r="L216" s="2">
        <v>4</v>
      </c>
      <c r="M216" s="2">
        <v>4</v>
      </c>
      <c r="N216" s="2">
        <v>4</v>
      </c>
      <c r="O216" s="2">
        <v>2459</v>
      </c>
      <c r="P216" s="2">
        <v>0</v>
      </c>
      <c r="R216">
        <f t="shared" si="4"/>
        <v>57500</v>
      </c>
    </row>
    <row r="217" spans="1:18">
      <c r="A217" s="5" t="s">
        <v>246</v>
      </c>
      <c r="B217" s="5" t="s">
        <v>333</v>
      </c>
      <c r="C217" s="2">
        <v>1</v>
      </c>
      <c r="D217" t="s">
        <v>335</v>
      </c>
      <c r="E217" s="5" t="s">
        <v>91</v>
      </c>
      <c r="F217" s="2">
        <v>4.9000000000000004</v>
      </c>
      <c r="G217" s="2">
        <v>4.9000000000000004</v>
      </c>
      <c r="H217" s="2">
        <v>4.9000000000000004</v>
      </c>
      <c r="I217" s="2">
        <v>4.9000000000000004</v>
      </c>
      <c r="J217" s="3">
        <v>10.5</v>
      </c>
      <c r="K217" s="2">
        <v>1092</v>
      </c>
      <c r="L217" s="2">
        <v>14</v>
      </c>
      <c r="M217" s="2">
        <v>4</v>
      </c>
      <c r="N217" s="2">
        <v>1</v>
      </c>
      <c r="O217" s="2">
        <v>667</v>
      </c>
      <c r="P217" s="2">
        <v>0</v>
      </c>
      <c r="R217">
        <f t="shared" si="4"/>
        <v>10500</v>
      </c>
    </row>
    <row r="218" spans="1:18">
      <c r="A218" s="5" t="s">
        <v>246</v>
      </c>
      <c r="B218" s="5" t="s">
        <v>333</v>
      </c>
      <c r="C218" s="2">
        <v>1</v>
      </c>
      <c r="D218" t="s">
        <v>336</v>
      </c>
      <c r="E218" s="5" t="s">
        <v>101</v>
      </c>
      <c r="F218" s="2">
        <v>4.8</v>
      </c>
      <c r="G218" s="2">
        <v>4.8</v>
      </c>
      <c r="H218" s="2">
        <v>4.7</v>
      </c>
      <c r="I218" s="2">
        <v>4.8</v>
      </c>
      <c r="J218" s="3">
        <v>27.6</v>
      </c>
      <c r="K218" s="2">
        <v>1169</v>
      </c>
      <c r="L218" s="2">
        <v>7</v>
      </c>
      <c r="M218" s="2">
        <v>5</v>
      </c>
      <c r="N218" s="2">
        <v>6</v>
      </c>
      <c r="O218" s="2">
        <v>1277</v>
      </c>
      <c r="P218" s="2">
        <v>0</v>
      </c>
      <c r="R218">
        <f t="shared" si="4"/>
        <v>27600</v>
      </c>
    </row>
    <row r="219" spans="1:18">
      <c r="A219" s="5" t="s">
        <v>246</v>
      </c>
      <c r="B219" s="5" t="s">
        <v>333</v>
      </c>
      <c r="C219" s="2">
        <v>1</v>
      </c>
      <c r="D219" t="s">
        <v>337</v>
      </c>
      <c r="E219" s="5" t="s">
        <v>66</v>
      </c>
      <c r="F219" s="2">
        <v>4.7</v>
      </c>
      <c r="G219" s="2">
        <v>4.5999999999999996</v>
      </c>
      <c r="H219" s="2">
        <v>4.8</v>
      </c>
      <c r="I219" s="2">
        <v>4.8</v>
      </c>
      <c r="J219" s="3">
        <v>26.3</v>
      </c>
      <c r="K219" s="2">
        <v>1023</v>
      </c>
      <c r="L219" s="2">
        <v>4</v>
      </c>
      <c r="M219" s="2">
        <v>3</v>
      </c>
      <c r="N219" s="2">
        <v>2</v>
      </c>
      <c r="O219" s="2">
        <v>887</v>
      </c>
      <c r="P219" s="2">
        <v>0</v>
      </c>
      <c r="R219">
        <f t="shared" si="4"/>
        <v>26300</v>
      </c>
    </row>
    <row r="220" spans="1:18">
      <c r="A220" s="5" t="s">
        <v>246</v>
      </c>
      <c r="B220" s="5" t="s">
        <v>333</v>
      </c>
      <c r="C220" s="2">
        <v>1</v>
      </c>
      <c r="D220" t="s">
        <v>338</v>
      </c>
      <c r="E220" s="5" t="s">
        <v>72</v>
      </c>
      <c r="F220" s="2">
        <v>4.7</v>
      </c>
      <c r="G220" s="2">
        <v>4.5999999999999996</v>
      </c>
      <c r="H220" s="2">
        <v>4.8</v>
      </c>
      <c r="I220" s="2">
        <v>4.8</v>
      </c>
      <c r="J220" s="3">
        <v>16.2</v>
      </c>
      <c r="K220" s="2">
        <v>438</v>
      </c>
      <c r="L220" s="2">
        <v>2</v>
      </c>
      <c r="M220" s="2">
        <v>1</v>
      </c>
      <c r="N220" s="2">
        <v>1</v>
      </c>
      <c r="O220" s="2">
        <v>532</v>
      </c>
      <c r="P220" s="2">
        <v>0</v>
      </c>
      <c r="R220">
        <f t="shared" si="4"/>
        <v>16200</v>
      </c>
    </row>
    <row r="221" spans="1:18">
      <c r="A221" s="5" t="s">
        <v>246</v>
      </c>
      <c r="B221" s="5" t="s">
        <v>333</v>
      </c>
      <c r="C221" s="2">
        <v>1</v>
      </c>
      <c r="D221" t="s">
        <v>339</v>
      </c>
      <c r="E221" s="5" t="s">
        <v>66</v>
      </c>
      <c r="F221" s="2">
        <v>4.4000000000000004</v>
      </c>
      <c r="G221" s="2">
        <v>4.4000000000000004</v>
      </c>
      <c r="H221" s="2">
        <v>4.8</v>
      </c>
      <c r="I221" s="2">
        <v>4.5999999999999996</v>
      </c>
      <c r="J221" s="3">
        <v>42</v>
      </c>
      <c r="K221" s="2">
        <v>1285</v>
      </c>
      <c r="L221" s="2">
        <v>6</v>
      </c>
      <c r="M221" s="2">
        <v>4</v>
      </c>
      <c r="N221" s="2">
        <v>5</v>
      </c>
      <c r="O221" s="2">
        <v>953</v>
      </c>
      <c r="P221" s="2">
        <v>0</v>
      </c>
      <c r="R221">
        <f t="shared" si="4"/>
        <v>42000</v>
      </c>
    </row>
    <row r="222" spans="1:18">
      <c r="A222" s="5" t="s">
        <v>246</v>
      </c>
      <c r="B222" s="5" t="s">
        <v>333</v>
      </c>
      <c r="C222" s="2">
        <v>1</v>
      </c>
      <c r="D222" t="s">
        <v>340</v>
      </c>
      <c r="E222" s="5" t="s">
        <v>76</v>
      </c>
      <c r="F222" s="2">
        <v>4.8</v>
      </c>
      <c r="G222" s="2">
        <v>4.8</v>
      </c>
      <c r="H222" s="2">
        <v>4.8</v>
      </c>
      <c r="I222" s="2">
        <v>4.8</v>
      </c>
      <c r="J222" s="3">
        <v>59.8</v>
      </c>
      <c r="K222" s="2">
        <v>2572</v>
      </c>
      <c r="L222" s="2">
        <v>4</v>
      </c>
      <c r="M222" s="2">
        <v>4</v>
      </c>
      <c r="N222" s="2">
        <v>3</v>
      </c>
      <c r="O222" s="2">
        <v>878</v>
      </c>
      <c r="P222" s="2">
        <v>0</v>
      </c>
      <c r="R222">
        <f t="shared" si="4"/>
        <v>59800</v>
      </c>
    </row>
    <row r="223" spans="1:18">
      <c r="A223" s="5" t="s">
        <v>246</v>
      </c>
      <c r="B223" s="5" t="s">
        <v>333</v>
      </c>
      <c r="C223" s="2">
        <v>1</v>
      </c>
      <c r="D223" t="s">
        <v>341</v>
      </c>
      <c r="E223" s="5" t="s">
        <v>78</v>
      </c>
      <c r="F223" s="2">
        <v>4.9000000000000004</v>
      </c>
      <c r="G223" s="2">
        <v>4.9000000000000004</v>
      </c>
      <c r="H223" s="2">
        <v>4.8</v>
      </c>
      <c r="I223" s="2">
        <v>4.9000000000000004</v>
      </c>
      <c r="J223" s="3">
        <v>39.5</v>
      </c>
      <c r="K223" s="2">
        <v>769</v>
      </c>
      <c r="L223" s="2">
        <v>3</v>
      </c>
      <c r="M223" s="2">
        <v>3</v>
      </c>
      <c r="N223" s="2">
        <v>2</v>
      </c>
      <c r="O223" s="2">
        <v>2418</v>
      </c>
      <c r="P223" s="2">
        <v>0</v>
      </c>
      <c r="R223">
        <f t="shared" si="4"/>
        <v>39500</v>
      </c>
    </row>
    <row r="224" spans="1:18">
      <c r="A224" s="5" t="s">
        <v>246</v>
      </c>
      <c r="B224" s="5" t="s">
        <v>333</v>
      </c>
      <c r="C224" s="2">
        <v>1</v>
      </c>
      <c r="D224" t="s">
        <v>342</v>
      </c>
      <c r="E224" s="5" t="s">
        <v>66</v>
      </c>
      <c r="F224" s="2">
        <v>4.9000000000000004</v>
      </c>
      <c r="G224" s="2">
        <v>4.8</v>
      </c>
      <c r="H224" s="2">
        <v>4.8</v>
      </c>
      <c r="I224" s="2">
        <v>4.8</v>
      </c>
      <c r="J224" s="3">
        <v>18</v>
      </c>
      <c r="K224" s="2">
        <v>920</v>
      </c>
      <c r="L224" s="2">
        <v>3</v>
      </c>
      <c r="M224" s="2">
        <v>3</v>
      </c>
      <c r="N224" s="2">
        <v>2</v>
      </c>
      <c r="O224" s="2">
        <v>680</v>
      </c>
      <c r="P224" s="2">
        <v>2</v>
      </c>
      <c r="R224">
        <f t="shared" si="4"/>
        <v>18000</v>
      </c>
    </row>
    <row r="225" spans="1:18">
      <c r="A225" s="5" t="s">
        <v>246</v>
      </c>
      <c r="B225" s="5" t="s">
        <v>333</v>
      </c>
      <c r="C225" s="2">
        <v>1</v>
      </c>
      <c r="D225" s="5" t="s">
        <v>343</v>
      </c>
      <c r="E225" s="5" t="s">
        <v>66</v>
      </c>
      <c r="F225" s="2">
        <f>4.8</f>
        <v>4.8</v>
      </c>
      <c r="G225" s="2">
        <v>4.8</v>
      </c>
      <c r="H225" s="2">
        <v>4.8</v>
      </c>
      <c r="I225" s="2">
        <v>4.8</v>
      </c>
      <c r="J225" s="3">
        <v>18.600000000000001</v>
      </c>
      <c r="K225" s="2">
        <v>366</v>
      </c>
      <c r="L225" s="2">
        <v>3</v>
      </c>
      <c r="M225" s="2">
        <v>2</v>
      </c>
      <c r="N225" s="2">
        <v>2</v>
      </c>
      <c r="O225" s="2">
        <v>1406</v>
      </c>
      <c r="P225" s="2">
        <v>0</v>
      </c>
      <c r="R225">
        <f t="shared" si="4"/>
        <v>18600</v>
      </c>
    </row>
    <row r="226" spans="1:18">
      <c r="A226" s="5" t="s">
        <v>246</v>
      </c>
      <c r="B226" s="5" t="s">
        <v>333</v>
      </c>
      <c r="C226" s="2">
        <v>1</v>
      </c>
      <c r="D226" t="s">
        <v>344</v>
      </c>
      <c r="E226" s="5" t="s">
        <v>66</v>
      </c>
      <c r="F226" s="2">
        <v>4.7</v>
      </c>
      <c r="G226" s="2">
        <v>4.8</v>
      </c>
      <c r="H226" s="2">
        <v>4.7</v>
      </c>
      <c r="I226" s="2">
        <v>4.7</v>
      </c>
      <c r="J226" s="3">
        <v>17.399999999999999</v>
      </c>
      <c r="K226" s="2">
        <v>372</v>
      </c>
      <c r="L226" s="2">
        <v>4</v>
      </c>
      <c r="M226" s="2">
        <v>3</v>
      </c>
      <c r="N226" s="2">
        <v>3</v>
      </c>
      <c r="O226" s="2">
        <v>1000</v>
      </c>
      <c r="P226" s="2">
        <v>0</v>
      </c>
      <c r="R226">
        <f t="shared" si="4"/>
        <v>17400</v>
      </c>
    </row>
    <row r="227" spans="1:18">
      <c r="A227" s="5" t="s">
        <v>246</v>
      </c>
      <c r="B227" s="5" t="s">
        <v>333</v>
      </c>
      <c r="C227" s="2">
        <v>1</v>
      </c>
      <c r="D227" t="s">
        <v>345</v>
      </c>
      <c r="E227" s="5" t="s">
        <v>78</v>
      </c>
      <c r="F227" s="2">
        <v>4.8</v>
      </c>
      <c r="G227" s="2">
        <v>4.8</v>
      </c>
      <c r="H227" s="2">
        <v>4.9000000000000004</v>
      </c>
      <c r="I227" s="2">
        <v>4.9000000000000004</v>
      </c>
      <c r="J227" s="3">
        <v>15.6</v>
      </c>
      <c r="K227" s="2">
        <v>415</v>
      </c>
      <c r="L227" s="2">
        <v>2</v>
      </c>
      <c r="M227" s="2">
        <v>1</v>
      </c>
      <c r="N227" s="2">
        <v>1</v>
      </c>
      <c r="O227" s="2">
        <v>1219</v>
      </c>
      <c r="P227" s="2">
        <v>0</v>
      </c>
      <c r="R227">
        <f t="shared" si="4"/>
        <v>15600</v>
      </c>
    </row>
    <row r="228" spans="1:18">
      <c r="A228" s="5" t="s">
        <v>246</v>
      </c>
      <c r="B228" s="5" t="s">
        <v>333</v>
      </c>
      <c r="C228" s="2">
        <v>1</v>
      </c>
      <c r="D228" t="s">
        <v>346</v>
      </c>
      <c r="E228" s="5" t="s">
        <v>78</v>
      </c>
      <c r="F228" s="2">
        <v>4.5999999999999996</v>
      </c>
      <c r="G228" s="2">
        <v>4.5</v>
      </c>
      <c r="H228" s="2">
        <v>4.5999999999999996</v>
      </c>
      <c r="I228" s="2">
        <v>4.5999999999999996</v>
      </c>
      <c r="J228" s="3">
        <v>58.7</v>
      </c>
      <c r="K228" s="2">
        <v>1052</v>
      </c>
      <c r="L228" s="2">
        <v>6</v>
      </c>
      <c r="M228" s="2">
        <v>4</v>
      </c>
      <c r="N228" s="2">
        <v>5</v>
      </c>
      <c r="O228" s="2">
        <v>1658</v>
      </c>
      <c r="P228" s="2">
        <v>0</v>
      </c>
      <c r="R228">
        <f t="shared" si="4"/>
        <v>58700</v>
      </c>
    </row>
    <row r="229" spans="1:18">
      <c r="A229" s="5" t="s">
        <v>246</v>
      </c>
      <c r="B229" s="5" t="s">
        <v>333</v>
      </c>
      <c r="C229" s="2">
        <v>1</v>
      </c>
      <c r="D229" t="s">
        <v>347</v>
      </c>
      <c r="E229" s="5" t="s">
        <v>101</v>
      </c>
      <c r="F229" s="2">
        <v>4.8</v>
      </c>
      <c r="G229" s="2">
        <v>4.8</v>
      </c>
      <c r="H229" s="2">
        <v>4.8</v>
      </c>
      <c r="I229" s="2">
        <v>4.8</v>
      </c>
      <c r="J229" s="3">
        <v>22.4</v>
      </c>
      <c r="K229" s="2">
        <v>1106</v>
      </c>
      <c r="L229" s="2">
        <v>5</v>
      </c>
      <c r="M229" s="2">
        <v>2</v>
      </c>
      <c r="N229" s="2">
        <v>2</v>
      </c>
      <c r="O229" s="2">
        <v>2292</v>
      </c>
      <c r="P229" s="2">
        <v>0</v>
      </c>
      <c r="Q229" s="5" t="s">
        <v>79</v>
      </c>
      <c r="R229">
        <f t="shared" si="4"/>
        <v>22400</v>
      </c>
    </row>
    <row r="230" spans="1:18">
      <c r="A230" s="5" t="s">
        <v>246</v>
      </c>
      <c r="B230" s="5" t="s">
        <v>333</v>
      </c>
      <c r="C230" s="2">
        <v>1</v>
      </c>
      <c r="D230" t="s">
        <v>348</v>
      </c>
      <c r="E230" s="5" t="s">
        <v>101</v>
      </c>
      <c r="F230" s="2">
        <v>4.8</v>
      </c>
      <c r="G230" s="2">
        <v>4.8</v>
      </c>
      <c r="H230" s="2">
        <v>4.7</v>
      </c>
      <c r="I230" s="2">
        <v>4.5999999999999996</v>
      </c>
      <c r="J230" s="3">
        <v>16.899999999999999</v>
      </c>
      <c r="K230" s="2">
        <v>375</v>
      </c>
      <c r="L230" s="2">
        <v>3</v>
      </c>
      <c r="M230" s="2">
        <v>2</v>
      </c>
      <c r="N230" s="2">
        <v>2</v>
      </c>
      <c r="O230" s="2">
        <v>1929</v>
      </c>
      <c r="P230" s="2">
        <v>0</v>
      </c>
      <c r="Q230" s="5" t="s">
        <v>79</v>
      </c>
      <c r="R230">
        <f t="shared" si="4"/>
        <v>16900</v>
      </c>
    </row>
    <row r="231" spans="1:18">
      <c r="A231" s="5" t="s">
        <v>246</v>
      </c>
      <c r="B231" s="5" t="s">
        <v>333</v>
      </c>
      <c r="C231" s="2">
        <v>1</v>
      </c>
      <c r="D231" t="s">
        <v>349</v>
      </c>
      <c r="E231" s="5" t="s">
        <v>91</v>
      </c>
      <c r="F231" s="2">
        <v>4.8</v>
      </c>
      <c r="G231" s="2">
        <v>4.8</v>
      </c>
      <c r="H231" s="2">
        <v>4.9000000000000004</v>
      </c>
      <c r="I231" s="2">
        <v>4.8</v>
      </c>
      <c r="J231" s="3">
        <v>40.200000000000003</v>
      </c>
      <c r="K231" s="2">
        <v>2079</v>
      </c>
      <c r="L231" s="2">
        <v>5</v>
      </c>
      <c r="M231" s="2">
        <v>4</v>
      </c>
      <c r="N231" s="2">
        <v>4</v>
      </c>
      <c r="O231" s="2">
        <v>1309</v>
      </c>
      <c r="P231" s="2">
        <v>0</v>
      </c>
      <c r="R231">
        <f t="shared" si="4"/>
        <v>40200</v>
      </c>
    </row>
    <row r="232" spans="1:18">
      <c r="A232" s="5" t="s">
        <v>246</v>
      </c>
      <c r="B232" s="5" t="s">
        <v>333</v>
      </c>
      <c r="C232" s="2">
        <v>1</v>
      </c>
      <c r="D232" t="s">
        <v>350</v>
      </c>
      <c r="E232" s="5" t="s">
        <v>68</v>
      </c>
      <c r="F232" s="2">
        <v>4.8</v>
      </c>
      <c r="G232" s="2">
        <v>4.8</v>
      </c>
      <c r="H232" s="2">
        <v>4.9000000000000004</v>
      </c>
      <c r="I232" s="2">
        <v>4.9000000000000004</v>
      </c>
      <c r="J232" s="3">
        <v>18.7</v>
      </c>
      <c r="K232" s="2">
        <v>1019</v>
      </c>
      <c r="L232" s="2">
        <v>3</v>
      </c>
      <c r="M232" s="2">
        <v>2</v>
      </c>
      <c r="N232" s="2">
        <v>1</v>
      </c>
      <c r="O232" s="2">
        <v>453</v>
      </c>
      <c r="P232" s="2">
        <v>0</v>
      </c>
      <c r="R232">
        <f t="shared" si="4"/>
        <v>18700</v>
      </c>
    </row>
    <row r="233" spans="1:18">
      <c r="A233" s="5" t="s">
        <v>246</v>
      </c>
      <c r="B233" s="5" t="s">
        <v>351</v>
      </c>
      <c r="C233" s="2">
        <v>1</v>
      </c>
      <c r="D233" t="s">
        <v>352</v>
      </c>
      <c r="E233" s="5" t="s">
        <v>353</v>
      </c>
      <c r="F233" s="2">
        <v>4.8</v>
      </c>
      <c r="G233" s="2">
        <v>4.8</v>
      </c>
      <c r="H233" s="2">
        <v>4.8</v>
      </c>
      <c r="I233" s="2">
        <v>4.8</v>
      </c>
      <c r="J233" s="3">
        <v>2.4300000000000002</v>
      </c>
      <c r="K233" s="2">
        <v>686</v>
      </c>
      <c r="L233" s="2">
        <v>3</v>
      </c>
      <c r="M233" s="2">
        <v>1</v>
      </c>
      <c r="N233" s="2">
        <v>1</v>
      </c>
      <c r="O233" s="2">
        <v>176</v>
      </c>
      <c r="P233" s="2">
        <v>0</v>
      </c>
      <c r="R233">
        <f t="shared" si="4"/>
        <v>2430</v>
      </c>
    </row>
    <row r="234" spans="1:18">
      <c r="A234" s="5" t="s">
        <v>246</v>
      </c>
      <c r="B234" s="5" t="s">
        <v>351</v>
      </c>
      <c r="C234" s="2">
        <v>1</v>
      </c>
      <c r="D234" t="s">
        <v>354</v>
      </c>
      <c r="E234" s="5" t="s">
        <v>353</v>
      </c>
      <c r="F234" s="2">
        <v>4.7</v>
      </c>
      <c r="G234" s="2">
        <v>4.5999999999999996</v>
      </c>
      <c r="H234" s="2">
        <v>4.8</v>
      </c>
      <c r="I234" s="2">
        <v>4.7</v>
      </c>
      <c r="J234" s="3">
        <v>4.569</v>
      </c>
      <c r="K234" s="2">
        <v>579</v>
      </c>
      <c r="L234" s="2">
        <v>2</v>
      </c>
      <c r="M234" s="2">
        <v>1</v>
      </c>
      <c r="N234" s="2">
        <v>1</v>
      </c>
      <c r="O234" s="2">
        <v>347</v>
      </c>
      <c r="P234" s="2">
        <v>2</v>
      </c>
      <c r="R234">
        <f t="shared" si="4"/>
        <v>4569</v>
      </c>
    </row>
    <row r="235" spans="1:18">
      <c r="J235" s="8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羞宁 顾</dc:creator>
  <cp:lastModifiedBy>羞宁 顾</cp:lastModifiedBy>
  <dcterms:created xsi:type="dcterms:W3CDTF">2024-01-28T22:50:00Z</dcterms:created>
  <dcterms:modified xsi:type="dcterms:W3CDTF">2024-02-05T10:52:07Z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537406A8DD9E9E241F37B765EB7D8DBD_42</vt:lpwstr>
  </property>
</Properties>
</file>